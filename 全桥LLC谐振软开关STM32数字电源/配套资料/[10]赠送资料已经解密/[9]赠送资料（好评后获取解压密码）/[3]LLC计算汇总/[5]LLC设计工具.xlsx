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 activeTab="1"/>
  </bookViews>
  <sheets>
    <sheet name="LLC谐振腔计算 (2)" sheetId="4" r:id="rId1"/>
    <sheet name="LLC谐振腔计算" sheetId="1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H18" i="4" l="1"/>
  <c r="K7" i="4" s="1"/>
  <c r="H46" i="4"/>
  <c r="H42" i="4"/>
  <c r="H43" i="4" s="1"/>
  <c r="H38" i="4"/>
  <c r="H36" i="4"/>
  <c r="H34" i="4"/>
  <c r="H21" i="4"/>
  <c r="K19" i="4"/>
  <c r="K21" i="4" s="1"/>
  <c r="K18" i="4"/>
  <c r="K8" i="4"/>
  <c r="H8" i="4"/>
  <c r="K22" i="4" l="1"/>
  <c r="H19" i="4"/>
  <c r="H20" i="4"/>
  <c r="H22" i="4"/>
  <c r="K9" i="4" s="1"/>
  <c r="P43" i="2"/>
  <c r="Q43" i="2" s="1"/>
  <c r="S43" i="2" s="1"/>
  <c r="I43" i="2"/>
  <c r="K43" i="2" s="1"/>
  <c r="H43" i="2"/>
  <c r="P42" i="2"/>
  <c r="Q42" i="2" s="1"/>
  <c r="S42" i="2" s="1"/>
  <c r="H42" i="2"/>
  <c r="Q41" i="2"/>
  <c r="S41" i="2" s="1"/>
  <c r="P41" i="2"/>
  <c r="H41" i="2"/>
  <c r="P40" i="2"/>
  <c r="Q40" i="2" s="1"/>
  <c r="S40" i="2" s="1"/>
  <c r="H40" i="2"/>
  <c r="Q39" i="2"/>
  <c r="S39" i="2" s="1"/>
  <c r="P39" i="2"/>
  <c r="H39" i="2"/>
  <c r="P38" i="2"/>
  <c r="Q38" i="2" s="1"/>
  <c r="S38" i="2" s="1"/>
  <c r="H38" i="2"/>
  <c r="Q37" i="2"/>
  <c r="S37" i="2" s="1"/>
  <c r="P37" i="2"/>
  <c r="H37" i="2"/>
  <c r="P36" i="2"/>
  <c r="Q36" i="2" s="1"/>
  <c r="S36" i="2" s="1"/>
  <c r="H36" i="2"/>
  <c r="Q35" i="2"/>
  <c r="S35" i="2" s="1"/>
  <c r="P35" i="2"/>
  <c r="H35" i="2"/>
  <c r="P34" i="2"/>
  <c r="Q34" i="2" s="1"/>
  <c r="S34" i="2" s="1"/>
  <c r="H34" i="2"/>
  <c r="E34" i="2"/>
  <c r="I34" i="2" s="1"/>
  <c r="K34" i="2" s="1"/>
  <c r="Q33" i="2"/>
  <c r="S33" i="2" s="1"/>
  <c r="P33" i="2"/>
  <c r="H33" i="2"/>
  <c r="I33" i="2" s="1"/>
  <c r="K33" i="2" s="1"/>
  <c r="Q32" i="2"/>
  <c r="S32" i="2" s="1"/>
  <c r="P32" i="2"/>
  <c r="H32" i="2"/>
  <c r="I32" i="2" s="1"/>
  <c r="K32" i="2" s="1"/>
  <c r="Q31" i="2"/>
  <c r="S31" i="2" s="1"/>
  <c r="P31" i="2"/>
  <c r="H31" i="2"/>
  <c r="I31" i="2" s="1"/>
  <c r="K31" i="2" s="1"/>
  <c r="Q30" i="2"/>
  <c r="S30" i="2" s="1"/>
  <c r="P30" i="2"/>
  <c r="H30" i="2"/>
  <c r="I30" i="2" s="1"/>
  <c r="K30" i="2" s="1"/>
  <c r="Q29" i="2"/>
  <c r="S29" i="2" s="1"/>
  <c r="P29" i="2"/>
  <c r="H29" i="2"/>
  <c r="I29" i="2" s="1"/>
  <c r="K29" i="2" s="1"/>
  <c r="Q28" i="2"/>
  <c r="S28" i="2" s="1"/>
  <c r="P28" i="2"/>
  <c r="H28" i="2"/>
  <c r="I28" i="2" s="1"/>
  <c r="K28" i="2" s="1"/>
  <c r="Q27" i="2"/>
  <c r="S27" i="2" s="1"/>
  <c r="P27" i="2"/>
  <c r="H27" i="2"/>
  <c r="I27" i="2" s="1"/>
  <c r="K27" i="2" s="1"/>
  <c r="Q26" i="2"/>
  <c r="S26" i="2" s="1"/>
  <c r="P26" i="2"/>
  <c r="H26" i="2"/>
  <c r="I26" i="2" s="1"/>
  <c r="K26" i="2" s="1"/>
  <c r="Q25" i="2"/>
  <c r="S25" i="2" s="1"/>
  <c r="P25" i="2"/>
  <c r="H25" i="2"/>
  <c r="I25" i="2" s="1"/>
  <c r="K25" i="2" s="1"/>
  <c r="Q24" i="2"/>
  <c r="S24" i="2" s="1"/>
  <c r="P24" i="2"/>
  <c r="H24" i="2"/>
  <c r="I24" i="2" s="1"/>
  <c r="K24" i="2" s="1"/>
  <c r="Q23" i="2"/>
  <c r="S23" i="2" s="1"/>
  <c r="P23" i="2"/>
  <c r="H23" i="2"/>
  <c r="I23" i="2" s="1"/>
  <c r="K23" i="2" s="1"/>
  <c r="Q22" i="2"/>
  <c r="S22" i="2" s="1"/>
  <c r="P22" i="2"/>
  <c r="H22" i="2"/>
  <c r="I22" i="2" s="1"/>
  <c r="K22" i="2" s="1"/>
  <c r="Q21" i="2"/>
  <c r="S21" i="2" s="1"/>
  <c r="P21" i="2"/>
  <c r="H21" i="2"/>
  <c r="I21" i="2" s="1"/>
  <c r="K21" i="2" s="1"/>
  <c r="Q20" i="2"/>
  <c r="S20" i="2" s="1"/>
  <c r="P20" i="2"/>
  <c r="H20" i="2"/>
  <c r="I20" i="2" s="1"/>
  <c r="K20" i="2" s="1"/>
  <c r="Q19" i="2"/>
  <c r="S19" i="2" s="1"/>
  <c r="P19" i="2"/>
  <c r="H19" i="2"/>
  <c r="I19" i="2" s="1"/>
  <c r="K19" i="2" s="1"/>
  <c r="Q18" i="2"/>
  <c r="S18" i="2" s="1"/>
  <c r="P18" i="2"/>
  <c r="H18" i="2"/>
  <c r="I18" i="2" s="1"/>
  <c r="K18" i="2" s="1"/>
  <c r="Q17" i="2"/>
  <c r="S17" i="2" s="1"/>
  <c r="P17" i="2"/>
  <c r="H17" i="2"/>
  <c r="I17" i="2" s="1"/>
  <c r="K17" i="2" s="1"/>
  <c r="Q16" i="2"/>
  <c r="S16" i="2" s="1"/>
  <c r="P16" i="2"/>
  <c r="H16" i="2"/>
  <c r="I16" i="2" s="1"/>
  <c r="K16" i="2" s="1"/>
  <c r="Q15" i="2"/>
  <c r="S15" i="2" s="1"/>
  <c r="P15" i="2"/>
  <c r="H15" i="2"/>
  <c r="I15" i="2" s="1"/>
  <c r="K15" i="2" s="1"/>
  <c r="H27" i="4" l="1"/>
  <c r="K11" i="4"/>
  <c r="H25" i="4"/>
  <c r="H29" i="4" s="1"/>
  <c r="H30" i="4" s="1"/>
  <c r="H37" i="4" s="1"/>
  <c r="H26" i="4"/>
  <c r="K10" i="4"/>
  <c r="H31" i="4" s="1"/>
  <c r="H32" i="4" s="1"/>
  <c r="E35" i="2"/>
  <c r="E36" i="2" s="1"/>
  <c r="H44" i="4" l="1"/>
  <c r="H40" i="4"/>
  <c r="H41" i="4" s="1"/>
  <c r="H33" i="4"/>
  <c r="K20" i="4"/>
  <c r="H28" i="4"/>
  <c r="H35" i="4"/>
  <c r="I36" i="2"/>
  <c r="K36" i="2" s="1"/>
  <c r="E37" i="2"/>
  <c r="I35" i="2"/>
  <c r="K35" i="2" s="1"/>
  <c r="H45" i="4" l="1"/>
  <c r="E38" i="2"/>
  <c r="I37" i="2"/>
  <c r="K37" i="2" s="1"/>
  <c r="K19" i="1"/>
  <c r="K18" i="1"/>
  <c r="H34" i="1"/>
  <c r="K8" i="1"/>
  <c r="H46" i="1"/>
  <c r="H42" i="1"/>
  <c r="H43" i="1" s="1"/>
  <c r="H38" i="1"/>
  <c r="H36" i="1"/>
  <c r="H8" i="1"/>
  <c r="H21" i="1"/>
  <c r="H18" i="1"/>
  <c r="K7" i="1" s="1"/>
  <c r="K22" i="1" s="1"/>
  <c r="I38" i="2" l="1"/>
  <c r="K38" i="2" s="1"/>
  <c r="E39" i="2"/>
  <c r="K21" i="1"/>
  <c r="H22" i="1"/>
  <c r="K9" i="1" s="1"/>
  <c r="H20" i="1"/>
  <c r="H19" i="1"/>
  <c r="K10" i="1" l="1"/>
  <c r="H31" i="1" s="1"/>
  <c r="H32" i="1" s="1"/>
  <c r="H25" i="1"/>
  <c r="E40" i="2"/>
  <c r="I39" i="2"/>
  <c r="K39" i="2" s="1"/>
  <c r="K11" i="1"/>
  <c r="H27" i="1"/>
  <c r="H26" i="1"/>
  <c r="I40" i="2" l="1"/>
  <c r="K40" i="2" s="1"/>
  <c r="E41" i="2"/>
  <c r="H29" i="1"/>
  <c r="H28" i="1"/>
  <c r="E42" i="2" l="1"/>
  <c r="I42" i="2" s="1"/>
  <c r="K42" i="2" s="1"/>
  <c r="I41" i="2"/>
  <c r="K41" i="2" s="1"/>
  <c r="H30" i="1"/>
  <c r="H37" i="1" s="1"/>
  <c r="H33" i="1" l="1"/>
  <c r="K20" i="1"/>
  <c r="H35" i="1"/>
  <c r="H44" i="1"/>
  <c r="H45" i="1" s="1"/>
  <c r="H40" i="1"/>
  <c r="H41" i="1" s="1"/>
</calcChain>
</file>

<file path=xl/sharedStrings.xml><?xml version="1.0" encoding="utf-8"?>
<sst xmlns="http://schemas.openxmlformats.org/spreadsheetml/2006/main" count="188" uniqueCount="92">
  <si>
    <t>Vin-min-dc(V)</t>
    <phoneticPr fontId="1" type="noConversion"/>
  </si>
  <si>
    <t>Vin-nom-dc（V)</t>
    <phoneticPr fontId="1" type="noConversion"/>
  </si>
  <si>
    <t>Vin-nom-max（V)</t>
    <phoneticPr fontId="1" type="noConversion"/>
  </si>
  <si>
    <t>Iout-max(A)</t>
    <phoneticPr fontId="1" type="noConversion"/>
  </si>
  <si>
    <t>Vout-max(V)</t>
    <phoneticPr fontId="1" type="noConversion"/>
  </si>
  <si>
    <t>Pout-max(W)</t>
    <phoneticPr fontId="1" type="noConversion"/>
  </si>
  <si>
    <t>Fr(KHz)</t>
    <phoneticPr fontId="1" type="noConversion"/>
  </si>
  <si>
    <t>N</t>
    <phoneticPr fontId="1" type="noConversion"/>
  </si>
  <si>
    <t>Vdf(V)</t>
    <phoneticPr fontId="1" type="noConversion"/>
  </si>
  <si>
    <t>Gmax</t>
    <phoneticPr fontId="1" type="noConversion"/>
  </si>
  <si>
    <t>Gmin</t>
    <phoneticPr fontId="1" type="noConversion"/>
  </si>
  <si>
    <t>Rac（Ω）</t>
    <phoneticPr fontId="1" type="noConversion"/>
  </si>
  <si>
    <t>π</t>
    <phoneticPr fontId="1" type="noConversion"/>
  </si>
  <si>
    <t>K</t>
    <phoneticPr fontId="1" type="noConversion"/>
  </si>
  <si>
    <t>Q</t>
    <phoneticPr fontId="1" type="noConversion"/>
  </si>
  <si>
    <t>Fmin(KHz)</t>
    <phoneticPr fontId="1" type="noConversion"/>
  </si>
  <si>
    <t>Fmax(KHz)</t>
    <phoneticPr fontId="1" type="noConversion"/>
  </si>
  <si>
    <t>Lr(μH)</t>
    <phoneticPr fontId="1" type="noConversion"/>
  </si>
  <si>
    <t>Lp(μH)</t>
    <phoneticPr fontId="1" type="noConversion"/>
  </si>
  <si>
    <t>Im(A)</t>
    <phoneticPr fontId="1" type="noConversion"/>
  </si>
  <si>
    <t>Ip(A)</t>
    <phoneticPr fontId="1" type="noConversion"/>
  </si>
  <si>
    <t>Cstray(pF)</t>
    <phoneticPr fontId="1" type="noConversion"/>
  </si>
  <si>
    <t>Coss(pF)</t>
    <phoneticPr fontId="1" type="noConversion"/>
  </si>
  <si>
    <t>Vmos（V)</t>
    <phoneticPr fontId="1" type="noConversion"/>
  </si>
  <si>
    <t>Imos-rms（A）</t>
    <phoneticPr fontId="1" type="noConversion"/>
  </si>
  <si>
    <t>Rds-on-MOS</t>
    <phoneticPr fontId="1" type="noConversion"/>
  </si>
  <si>
    <t>Id-avg（A)</t>
    <phoneticPr fontId="1" type="noConversion"/>
  </si>
  <si>
    <t>Pconduct-loss-MOS（W)</t>
    <phoneticPr fontId="1" type="noConversion"/>
  </si>
  <si>
    <t>Pconduct-loss-DIODE（W)</t>
    <phoneticPr fontId="1" type="noConversion"/>
  </si>
  <si>
    <t>Icr（A)</t>
    <phoneticPr fontId="1" type="noConversion"/>
  </si>
  <si>
    <t>Vcr-Max（V)</t>
    <phoneticPr fontId="1" type="noConversion"/>
  </si>
  <si>
    <t>Ico-rms（A)</t>
    <phoneticPr fontId="1" type="noConversion"/>
  </si>
  <si>
    <t>反射电阻</t>
    <phoneticPr fontId="1" type="noConversion"/>
  </si>
  <si>
    <t>RL（Ω）</t>
    <phoneticPr fontId="1" type="noConversion"/>
  </si>
  <si>
    <t>K-Q-F</t>
    <phoneticPr fontId="1" type="noConversion"/>
  </si>
  <si>
    <t>谐振电流</t>
    <phoneticPr fontId="1" type="noConversion"/>
  </si>
  <si>
    <t>整流管</t>
    <phoneticPr fontId="1" type="noConversion"/>
  </si>
  <si>
    <t>谐振电容应力</t>
    <phoneticPr fontId="1" type="noConversion"/>
  </si>
  <si>
    <t>输出电容应力</t>
    <phoneticPr fontId="1" type="noConversion"/>
  </si>
  <si>
    <t>MOS管应力</t>
    <phoneticPr fontId="1" type="noConversion"/>
  </si>
  <si>
    <t>器件应力</t>
    <phoneticPr fontId="1" type="noConversion"/>
  </si>
  <si>
    <t>结果</t>
    <phoneticPr fontId="1" type="noConversion"/>
  </si>
  <si>
    <t>计算值</t>
    <phoneticPr fontId="1" type="noConversion"/>
  </si>
  <si>
    <t>输入</t>
    <phoneticPr fontId="1" type="noConversion"/>
  </si>
  <si>
    <t>参数设定</t>
    <phoneticPr fontId="1" type="noConversion"/>
  </si>
  <si>
    <t>输出</t>
    <phoneticPr fontId="1" type="noConversion"/>
  </si>
  <si>
    <t>其他</t>
    <phoneticPr fontId="1" type="noConversion"/>
  </si>
  <si>
    <t>变比与增益</t>
    <phoneticPr fontId="1" type="noConversion"/>
  </si>
  <si>
    <t>检查项（Im＞Ip）</t>
    <phoneticPr fontId="1" type="noConversion"/>
  </si>
  <si>
    <t>实际选型结果</t>
    <phoneticPr fontId="1" type="noConversion"/>
  </si>
  <si>
    <t>Lr(μH )</t>
    <phoneticPr fontId="1" type="noConversion"/>
  </si>
  <si>
    <t>Lp（μH )</t>
    <phoneticPr fontId="1" type="noConversion"/>
  </si>
  <si>
    <t>Cr(nF)</t>
    <phoneticPr fontId="1" type="noConversion"/>
  </si>
  <si>
    <t>K</t>
    <phoneticPr fontId="1" type="noConversion"/>
  </si>
  <si>
    <t>N</t>
    <phoneticPr fontId="1" type="noConversion"/>
  </si>
  <si>
    <t>Fr(KHz)</t>
    <phoneticPr fontId="1" type="noConversion"/>
  </si>
  <si>
    <t>△B(Tesl）</t>
    <phoneticPr fontId="1" type="noConversion"/>
  </si>
  <si>
    <r>
      <t>Ae（mm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</si>
  <si>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初级线径</t>
    <phoneticPr fontId="1" type="noConversion"/>
  </si>
  <si>
    <t>次级线径</t>
    <phoneticPr fontId="1" type="noConversion"/>
  </si>
  <si>
    <t>变压器</t>
    <phoneticPr fontId="1" type="noConversion"/>
  </si>
  <si>
    <t>MOS管应力</t>
    <phoneticPr fontId="1" type="noConversion"/>
  </si>
  <si>
    <t>Np（T)</t>
    <phoneticPr fontId="1" type="noConversion"/>
  </si>
  <si>
    <t>Ns(T)</t>
    <phoneticPr fontId="1" type="noConversion"/>
  </si>
  <si>
    <t>初级股数</t>
    <phoneticPr fontId="1" type="noConversion"/>
  </si>
  <si>
    <t>次级股数</t>
    <phoneticPr fontId="1" type="noConversion"/>
  </si>
  <si>
    <t>初级电流有效值（A）</t>
    <phoneticPr fontId="1" type="noConversion"/>
  </si>
  <si>
    <t>Imax-MOS（A)</t>
    <phoneticPr fontId="1" type="noConversion"/>
  </si>
  <si>
    <t>Fmin（KHz）</t>
    <phoneticPr fontId="1" type="noConversion"/>
  </si>
  <si>
    <t>Fmax（KHz）</t>
    <phoneticPr fontId="1" type="noConversion"/>
  </si>
  <si>
    <t>初级匝（T)</t>
    <phoneticPr fontId="1" type="noConversion"/>
  </si>
  <si>
    <t>次级匝(T)</t>
    <phoneticPr fontId="1" type="noConversion"/>
  </si>
  <si>
    <t>初级线径(mm)</t>
    <phoneticPr fontId="1" type="noConversion"/>
  </si>
  <si>
    <t>次级线径（mm）</t>
    <phoneticPr fontId="1" type="noConversion"/>
  </si>
  <si>
    <r>
      <t>电流密度（A/mm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</si>
  <si>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次级截面积（mm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</si>
  <si>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初级截面积（mm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</si>
  <si>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初级电流密度（A/mm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</si>
  <si>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次级电流密度（A/mm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</si>
  <si>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实际匝比与理想相比</t>
    <phoneticPr fontId="1" type="noConversion"/>
  </si>
  <si>
    <t>LLC谐振腔计算</t>
    <phoneticPr fontId="1" type="noConversion"/>
  </si>
  <si>
    <t>目标值</t>
    <phoneticPr fontId="1" type="noConversion"/>
  </si>
  <si>
    <t>Q值余量（%）</t>
    <phoneticPr fontId="1" type="noConversion"/>
  </si>
  <si>
    <t>本表依据CMG设计步骤编制，增加的Q值余量。</t>
    <phoneticPr fontId="1" type="noConversion"/>
  </si>
  <si>
    <t>表格密码：123</t>
    <phoneticPr fontId="1" type="noConversion"/>
  </si>
  <si>
    <t>最小输入电压</t>
    <phoneticPr fontId="1" type="noConversion"/>
  </si>
  <si>
    <t>额定输入电压</t>
    <phoneticPr fontId="1" type="noConversion"/>
  </si>
  <si>
    <t>输出电压</t>
    <phoneticPr fontId="1" type="noConversion"/>
  </si>
  <si>
    <t>匝比</t>
    <phoneticPr fontId="1" type="noConversion"/>
  </si>
  <si>
    <t>最大增益</t>
    <phoneticPr fontId="1" type="noConversion"/>
  </si>
  <si>
    <t>K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</si>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</sst>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_ "/>
    <numFmt numFmtId="177" formatCode="0.00_ "/>
    <numFmt numFmtId="178" formatCode="0.0_ "/>
    <numFmt numFmtId="179" formatCode="0_ "/>
    <numFmt numFmtId="180" formatCode="0.0000000000_ 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vertAlign val="superscript"/>
      <sz val="11"/>
      <color theme="1"/>
      <name val="宋体"/>
      <family val="3"/>
      <charset val="134"/>
      <scheme val="minor"/>
    </font>
    <font>
      <sz val="24"/>
      <color theme="1"/>
      <name val="方正姚体"/>
      <family val="3"/>
      <charset val="134"/>
    </font>
    <font>
      <sz val="11"/>
      <color rgb="FFE2DD00"/>
      <name val="方正姚体"/>
      <family val="3"/>
      <charset val="134"/>
    </font>
    <font>
      <sz val="12"/>
      <color theme="1"/>
      <name val="方正姚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0"/>
      <color rgb="FF00B05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5" xfId="0" applyFill="1" applyBorder="1" applyProtection="1"/>
    <xf numFmtId="178" fontId="0" fillId="2" borderId="6" xfId="0" applyNumberFormat="1" applyFill="1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vertical="center"/>
    </xf>
    <xf numFmtId="176" fontId="0" fillId="2" borderId="6" xfId="0" applyNumberFormat="1" applyFill="1" applyBorder="1" applyAlignment="1" applyProtection="1">
      <alignment horizontal="center" vertical="center"/>
    </xf>
    <xf numFmtId="0" fontId="0" fillId="3" borderId="5" xfId="0" applyFill="1" applyBorder="1" applyProtection="1"/>
    <xf numFmtId="178" fontId="0" fillId="3" borderId="6" xfId="0" applyNumberFormat="1" applyFill="1" applyBorder="1" applyAlignment="1" applyProtection="1">
      <alignment horizontal="center" vertical="center"/>
    </xf>
    <xf numFmtId="177" fontId="0" fillId="3" borderId="6" xfId="0" applyNumberFormat="1" applyFill="1" applyBorder="1" applyAlignment="1" applyProtection="1">
      <alignment horizontal="center" vertical="center"/>
    </xf>
    <xf numFmtId="0" fontId="0" fillId="3" borderId="6" xfId="0" applyFill="1" applyBorder="1" applyAlignment="1" applyProtection="1">
      <alignment horizontal="center" vertical="center"/>
    </xf>
    <xf numFmtId="179" fontId="0" fillId="3" borderId="6" xfId="0" applyNumberFormat="1" applyFill="1" applyBorder="1" applyAlignment="1" applyProtection="1">
      <alignment horizontal="center" vertical="center"/>
    </xf>
    <xf numFmtId="0" fontId="0" fillId="3" borderId="8" xfId="0" applyFill="1" applyBorder="1" applyProtection="1"/>
    <xf numFmtId="178" fontId="0" fillId="3" borderId="9" xfId="0" applyNumberFormat="1" applyFill="1" applyBorder="1" applyAlignment="1" applyProtection="1">
      <alignment horizontal="center" vertical="center"/>
    </xf>
    <xf numFmtId="0" fontId="0" fillId="3" borderId="2" xfId="0" applyFill="1" applyBorder="1" applyProtection="1"/>
    <xf numFmtId="0" fontId="0" fillId="3" borderId="5" xfId="0" applyFill="1" applyBorder="1" applyAlignment="1" applyProtection="1">
      <alignment horizontal="center" vertical="center"/>
      <protection locked="0"/>
    </xf>
    <xf numFmtId="178" fontId="0" fillId="3" borderId="5" xfId="0" applyNumberFormat="1" applyFill="1" applyBorder="1" applyAlignment="1" applyProtection="1">
      <alignment horizontal="center" vertical="center"/>
      <protection locked="0"/>
    </xf>
    <xf numFmtId="177" fontId="0" fillId="3" borderId="5" xfId="0" applyNumberFormat="1" applyFill="1" applyBorder="1" applyAlignment="1" applyProtection="1">
      <alignment horizontal="center" vertical="center"/>
    </xf>
    <xf numFmtId="178" fontId="0" fillId="3" borderId="5" xfId="0" applyNumberFormat="1" applyFill="1" applyBorder="1" applyAlignment="1" applyProtection="1">
      <alignment horizontal="center" vertical="center"/>
    </xf>
    <xf numFmtId="176" fontId="0" fillId="3" borderId="5" xfId="0" applyNumberFormat="1" applyFill="1" applyBorder="1" applyAlignment="1" applyProtection="1">
      <alignment horizontal="center" vertical="center"/>
    </xf>
    <xf numFmtId="0" fontId="0" fillId="3" borderId="5" xfId="0" applyFill="1" applyBorder="1" applyAlignment="1" applyProtection="1">
      <alignment horizontal="center" vertical="center"/>
    </xf>
    <xf numFmtId="0" fontId="4" fillId="3" borderId="5" xfId="0" applyFont="1" applyFill="1" applyBorder="1" applyProtection="1"/>
    <xf numFmtId="0" fontId="4" fillId="3" borderId="5" xfId="0" applyFont="1" applyFill="1" applyBorder="1" applyAlignment="1" applyProtection="1">
      <alignment horizontal="center" vertical="center"/>
      <protection locked="0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Border="1"/>
    <xf numFmtId="0" fontId="0" fillId="4" borderId="0" xfId="0" applyFill="1" applyBorder="1" applyProtection="1">
      <protection locked="0"/>
    </xf>
    <xf numFmtId="0" fontId="0" fillId="4" borderId="17" xfId="0" applyFill="1" applyBorder="1" applyProtection="1">
      <protection locked="0"/>
    </xf>
    <xf numFmtId="0" fontId="0" fillId="4" borderId="18" xfId="0" applyFill="1" applyBorder="1" applyProtection="1">
      <protection locked="0"/>
    </xf>
    <xf numFmtId="0" fontId="0" fillId="4" borderId="19" xfId="0" applyFill="1" applyBorder="1"/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/>
    </xf>
    <xf numFmtId="0" fontId="6" fillId="0" borderId="11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6" fillId="3" borderId="10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14" xfId="0" applyFont="1" applyFill="1" applyBorder="1" applyAlignment="1" applyProtection="1">
      <alignment horizontal="center" vertical="center" wrapText="1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15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/>
    </xf>
    <xf numFmtId="0" fontId="6" fillId="3" borderId="16" xfId="0" applyFont="1" applyFill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9" fillId="4" borderId="19" xfId="0" applyFont="1" applyFill="1" applyBorder="1" applyAlignment="1" applyProtection="1"/>
    <xf numFmtId="0" fontId="10" fillId="4" borderId="19" xfId="0" applyFont="1" applyFill="1" applyBorder="1" applyAlignment="1" applyProtection="1"/>
    <xf numFmtId="0" fontId="7" fillId="4" borderId="0" xfId="0" applyFont="1" applyFill="1" applyAlignment="1"/>
    <xf numFmtId="0" fontId="8" fillId="4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2DD00"/>
      <color rgb="FF626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47"/>
  <sheetViews>
    <sheetView topLeftCell="A16" workbookViewId="0">
      <selection activeCell="H18" sqref="H18"/>
    </sheetView>
  </sheetViews>
  <sheetFormatPr defaultRowHeight="13.5" x14ac:dyDescent="0.15"/>
  <cols>
    <col min="4" max="4" width="2.625" customWidth="1"/>
    <col min="5" max="5" width="16.875" customWidth="1"/>
    <col min="7" max="7" width="23.375" customWidth="1"/>
    <col min="8" max="8" width="9.625" style="1" customWidth="1"/>
    <col min="9" max="9" width="2.625" customWidth="1"/>
    <col min="10" max="10" width="19.75" customWidth="1"/>
    <col min="11" max="11" width="15.875" style="1" customWidth="1"/>
    <col min="12" max="12" width="0.875" customWidth="1"/>
  </cols>
  <sheetData>
    <row r="1" spans="4:12" ht="13.5" customHeight="1" x14ac:dyDescent="0.15">
      <c r="D1" s="25"/>
      <c r="E1" s="25"/>
      <c r="F1" s="25"/>
      <c r="G1" s="25"/>
      <c r="H1" s="26"/>
      <c r="I1" s="27"/>
      <c r="J1" s="25"/>
      <c r="K1" s="26"/>
      <c r="L1" s="25"/>
    </row>
    <row r="2" spans="4:12" ht="29.25" thickBot="1" x14ac:dyDescent="0.35">
      <c r="D2" s="25"/>
      <c r="E2" s="48" t="s">
        <v>80</v>
      </c>
      <c r="F2" s="48"/>
      <c r="G2" s="48"/>
      <c r="H2" s="48"/>
      <c r="I2" s="28"/>
      <c r="J2" s="54" t="s">
        <v>49</v>
      </c>
      <c r="K2" s="54"/>
      <c r="L2" s="25"/>
    </row>
    <row r="3" spans="4:12" ht="15" thickTop="1" x14ac:dyDescent="0.15">
      <c r="D3" s="25"/>
      <c r="E3" s="55" t="s">
        <v>44</v>
      </c>
      <c r="F3" s="42" t="s">
        <v>43</v>
      </c>
      <c r="G3" s="16" t="s">
        <v>0</v>
      </c>
      <c r="H3" s="32">
        <v>350</v>
      </c>
      <c r="I3" s="28"/>
      <c r="J3" s="23" t="s">
        <v>50</v>
      </c>
      <c r="K3" s="24">
        <v>100</v>
      </c>
      <c r="L3" s="25"/>
    </row>
    <row r="4" spans="4:12" ht="14.25" x14ac:dyDescent="0.15">
      <c r="D4" s="25"/>
      <c r="E4" s="46"/>
      <c r="F4" s="43"/>
      <c r="G4" s="9" t="s">
        <v>1</v>
      </c>
      <c r="H4" s="33">
        <v>400</v>
      </c>
      <c r="I4" s="28"/>
      <c r="J4" s="23" t="s">
        <v>51</v>
      </c>
      <c r="K4" s="24">
        <v>666</v>
      </c>
      <c r="L4" s="25"/>
    </row>
    <row r="5" spans="4:12" ht="14.25" x14ac:dyDescent="0.15">
      <c r="D5" s="25"/>
      <c r="E5" s="46"/>
      <c r="F5" s="43"/>
      <c r="G5" s="9" t="s">
        <v>2</v>
      </c>
      <c r="H5" s="33">
        <v>420</v>
      </c>
      <c r="I5" s="28"/>
      <c r="J5" s="23" t="s">
        <v>52</v>
      </c>
      <c r="K5" s="24">
        <v>22</v>
      </c>
      <c r="L5" s="25"/>
    </row>
    <row r="6" spans="4:12" ht="14.25" x14ac:dyDescent="0.15">
      <c r="D6" s="25"/>
      <c r="E6" s="46"/>
      <c r="F6" s="43" t="s">
        <v>45</v>
      </c>
      <c r="G6" s="9" t="s">
        <v>4</v>
      </c>
      <c r="H6" s="33">
        <v>28</v>
      </c>
      <c r="I6" s="28"/>
      <c r="J6" s="9" t="s">
        <v>13</v>
      </c>
      <c r="K6" s="19">
        <v>3</v>
      </c>
      <c r="L6" s="25"/>
    </row>
    <row r="7" spans="4:12" ht="14.25" x14ac:dyDescent="0.15">
      <c r="D7" s="25"/>
      <c r="E7" s="46"/>
      <c r="F7" s="43"/>
      <c r="G7" s="9" t="s">
        <v>3</v>
      </c>
      <c r="H7" s="33">
        <v>2</v>
      </c>
      <c r="I7" s="28"/>
      <c r="J7" s="9" t="s">
        <v>7</v>
      </c>
      <c r="K7" s="19">
        <f>H18*SQRT((K3+K4)/K4)</f>
        <v>7.4735228924031096</v>
      </c>
      <c r="L7" s="25"/>
    </row>
    <row r="8" spans="4:12" ht="14.25" x14ac:dyDescent="0.15">
      <c r="D8" s="25"/>
      <c r="E8" s="46"/>
      <c r="F8" s="43"/>
      <c r="G8" s="9" t="s">
        <v>5</v>
      </c>
      <c r="H8" s="35">
        <f>H6*H7</f>
        <v>56</v>
      </c>
      <c r="I8" s="28"/>
      <c r="J8" s="9" t="s">
        <v>6</v>
      </c>
      <c r="K8" s="20">
        <f>1/(2*H11*SQRT(K3/1000000000*K5/1000000))/1000</f>
        <v>107.35666599733153</v>
      </c>
      <c r="L8" s="25"/>
    </row>
    <row r="9" spans="4:12" ht="14.25" x14ac:dyDescent="0.15">
      <c r="D9" s="25"/>
      <c r="E9" s="46"/>
      <c r="F9" s="50" t="s">
        <v>46</v>
      </c>
      <c r="G9" s="9" t="s">
        <v>8</v>
      </c>
      <c r="H9" s="33">
        <v>0.7</v>
      </c>
      <c r="I9" s="28"/>
      <c r="J9" s="9" t="s">
        <v>14</v>
      </c>
      <c r="K9" s="21">
        <f>1/(2*H11*K8*1000*H22*K5/1000000000)</f>
        <v>0.12221759550423807</v>
      </c>
      <c r="L9" s="25"/>
    </row>
    <row r="10" spans="4:12" ht="14.25" x14ac:dyDescent="0.15">
      <c r="D10" s="25"/>
      <c r="E10" s="46"/>
      <c r="F10" s="52"/>
      <c r="G10" s="9" t="s">
        <v>6</v>
      </c>
      <c r="H10" s="33">
        <v>100</v>
      </c>
      <c r="I10" s="28"/>
      <c r="J10" s="9" t="s">
        <v>68</v>
      </c>
      <c r="K10" s="20">
        <f>H10/SQRT(1+H23*(1-1/(H19*H19)))</f>
        <v>67.855114374397672</v>
      </c>
      <c r="L10" s="25"/>
    </row>
    <row r="11" spans="4:12" ht="14.25" x14ac:dyDescent="0.15">
      <c r="D11" s="25"/>
      <c r="E11" s="46"/>
      <c r="F11" s="53"/>
      <c r="G11" s="9" t="s">
        <v>12</v>
      </c>
      <c r="H11" s="33">
        <v>3.14</v>
      </c>
      <c r="I11" s="28"/>
      <c r="J11" s="9" t="s">
        <v>69</v>
      </c>
      <c r="K11" s="19">
        <f>H10/SQRT(1+H23*(1-1/H20))</f>
        <v>115.47005383792518</v>
      </c>
      <c r="L11" s="25"/>
    </row>
    <row r="12" spans="4:12" ht="14.25" x14ac:dyDescent="0.15">
      <c r="D12" s="25"/>
      <c r="E12" s="46"/>
      <c r="F12" s="43" t="s">
        <v>39</v>
      </c>
      <c r="G12" s="9" t="s">
        <v>22</v>
      </c>
      <c r="H12" s="33">
        <v>150</v>
      </c>
      <c r="I12" s="28"/>
      <c r="J12" s="9" t="s">
        <v>70</v>
      </c>
      <c r="K12" s="18">
        <v>70</v>
      </c>
      <c r="L12" s="25"/>
    </row>
    <row r="13" spans="4:12" ht="14.25" x14ac:dyDescent="0.15">
      <c r="D13" s="25"/>
      <c r="E13" s="46"/>
      <c r="F13" s="56"/>
      <c r="G13" s="9" t="s">
        <v>21</v>
      </c>
      <c r="H13" s="33">
        <v>100</v>
      </c>
      <c r="I13" s="28"/>
      <c r="J13" s="9" t="s">
        <v>71</v>
      </c>
      <c r="K13" s="17">
        <v>11</v>
      </c>
      <c r="L13" s="25"/>
    </row>
    <row r="14" spans="4:12" ht="14.25" x14ac:dyDescent="0.15">
      <c r="D14" s="25"/>
      <c r="E14" s="46"/>
      <c r="F14" s="56"/>
      <c r="G14" s="9" t="s">
        <v>25</v>
      </c>
      <c r="H14" s="33">
        <v>1</v>
      </c>
      <c r="I14" s="28"/>
      <c r="J14" s="23" t="s">
        <v>72</v>
      </c>
      <c r="K14" s="24">
        <v>0.1</v>
      </c>
      <c r="L14" s="25"/>
    </row>
    <row r="15" spans="4:12" ht="14.25" x14ac:dyDescent="0.15">
      <c r="D15" s="25"/>
      <c r="E15" s="46"/>
      <c r="F15" s="43" t="s">
        <v>60</v>
      </c>
      <c r="G15" s="9" t="s">
        <v>56</v>
      </c>
      <c r="H15" s="33">
        <v>0.25</v>
      </c>
      <c r="I15" s="28"/>
      <c r="J15" s="23" t="s">
        <v>73</v>
      </c>
      <c r="K15" s="24">
        <v>0.1</v>
      </c>
      <c r="L15" s="25"/>
    </row>
    <row r="16" spans="4:12" ht="15.75" x14ac:dyDescent="0.15">
      <c r="D16" s="25"/>
      <c r="E16" s="46"/>
      <c r="F16" s="43"/>
      <c r="G16" s="9" t="s">
        <v>57</v>
      </c>
      <c r="H16" s="33">
        <v>64</v>
      </c>
      <c r="I16" s="28"/>
      <c r="J16" s="23" t="s">
        <v>64</v>
      </c>
      <c r="K16" s="24">
        <v>20</v>
      </c>
      <c r="L16" s="25"/>
    </row>
    <row r="17" spans="4:12" ht="15.75" x14ac:dyDescent="0.15">
      <c r="D17" s="25"/>
      <c r="E17" s="47"/>
      <c r="F17" s="43"/>
      <c r="G17" s="9" t="s">
        <v>74</v>
      </c>
      <c r="H17" s="33">
        <v>5</v>
      </c>
      <c r="I17" s="28"/>
      <c r="J17" s="23" t="s">
        <v>65</v>
      </c>
      <c r="K17" s="24">
        <v>200</v>
      </c>
      <c r="L17" s="25"/>
    </row>
    <row r="18" spans="4:12" ht="15.75" x14ac:dyDescent="0.15">
      <c r="D18" s="25"/>
      <c r="E18" s="45" t="s">
        <v>42</v>
      </c>
      <c r="F18" s="44" t="s">
        <v>47</v>
      </c>
      <c r="G18" s="5" t="s">
        <v>7</v>
      </c>
      <c r="H18" s="6">
        <f>H4/2/(H6+H9)</f>
        <v>6.9686411149825789</v>
      </c>
      <c r="I18" s="28"/>
      <c r="J18" s="9" t="s">
        <v>76</v>
      </c>
      <c r="K18" s="22">
        <f>K14/2*K14/2*3.14*K16</f>
        <v>0.15700000000000003</v>
      </c>
      <c r="L18" s="25"/>
    </row>
    <row r="19" spans="4:12" ht="15.75" x14ac:dyDescent="0.15">
      <c r="D19" s="25"/>
      <c r="E19" s="46"/>
      <c r="F19" s="44"/>
      <c r="G19" s="5" t="s">
        <v>9</v>
      </c>
      <c r="H19" s="7">
        <f>2*H18*(H6+H9)/H3</f>
        <v>1.1428571428571428</v>
      </c>
      <c r="I19" s="28"/>
      <c r="J19" s="9" t="s">
        <v>75</v>
      </c>
      <c r="K19" s="22">
        <f>K15/2*K15/2*H11*K17</f>
        <v>1.5700000000000003</v>
      </c>
      <c r="L19" s="25"/>
    </row>
    <row r="20" spans="4:12" ht="15.75" x14ac:dyDescent="0.15">
      <c r="D20" s="25"/>
      <c r="E20" s="46"/>
      <c r="F20" s="44"/>
      <c r="G20" s="5" t="s">
        <v>10</v>
      </c>
      <c r="H20" s="8">
        <f>2*H18*(H6+H9)/H5</f>
        <v>0.95238095238095233</v>
      </c>
      <c r="I20" s="28"/>
      <c r="J20" s="9" t="s">
        <v>77</v>
      </c>
      <c r="K20" s="20">
        <f>H37/K18</f>
        <v>0.98842285554900489</v>
      </c>
      <c r="L20" s="25"/>
    </row>
    <row r="21" spans="4:12" ht="15.75" x14ac:dyDescent="0.15">
      <c r="D21" s="25"/>
      <c r="E21" s="46"/>
      <c r="F21" s="44" t="s">
        <v>32</v>
      </c>
      <c r="G21" s="5" t="s">
        <v>33</v>
      </c>
      <c r="H21" s="7">
        <f>H6/H7</f>
        <v>14</v>
      </c>
      <c r="I21" s="28"/>
      <c r="J21" s="9" t="s">
        <v>78</v>
      </c>
      <c r="K21" s="20">
        <f>H42*1.414/K19</f>
        <v>0.90063694267515904</v>
      </c>
      <c r="L21" s="25"/>
    </row>
    <row r="22" spans="4:12" x14ac:dyDescent="0.15">
      <c r="D22" s="25"/>
      <c r="E22" s="46"/>
      <c r="F22" s="44"/>
      <c r="G22" s="5" t="s">
        <v>11</v>
      </c>
      <c r="H22" s="6">
        <f>8*H18*H18*H21/(H11*H11)</f>
        <v>551.63895156149044</v>
      </c>
      <c r="I22" s="28"/>
      <c r="J22" s="9" t="s">
        <v>79</v>
      </c>
      <c r="K22" s="21">
        <f>K12/K13/K7</f>
        <v>0.85149085046692585</v>
      </c>
      <c r="L22" s="25"/>
    </row>
    <row r="23" spans="4:12" x14ac:dyDescent="0.15">
      <c r="D23" s="25"/>
      <c r="E23" s="46"/>
      <c r="F23" s="44" t="s">
        <v>34</v>
      </c>
      <c r="G23" s="5" t="s">
        <v>13</v>
      </c>
      <c r="H23" s="4">
        <v>5</v>
      </c>
      <c r="I23" s="29"/>
      <c r="J23" s="57" t="s">
        <v>83</v>
      </c>
      <c r="K23" s="58"/>
      <c r="L23" s="25"/>
    </row>
    <row r="24" spans="4:12" x14ac:dyDescent="0.15">
      <c r="D24" s="25"/>
      <c r="E24" s="46"/>
      <c r="F24" s="44"/>
      <c r="G24" s="5" t="s">
        <v>82</v>
      </c>
      <c r="H24" s="4">
        <v>100</v>
      </c>
      <c r="I24" s="29"/>
      <c r="J24" s="59" t="s">
        <v>84</v>
      </c>
      <c r="K24" s="60"/>
      <c r="L24" s="25"/>
    </row>
    <row r="25" spans="4:12" x14ac:dyDescent="0.15">
      <c r="D25" s="25"/>
      <c r="E25" s="46"/>
      <c r="F25" s="44"/>
      <c r="G25" s="5" t="s">
        <v>14</v>
      </c>
      <c r="H25" s="8">
        <f>0.95*SQRT(H23+H19*H19/(H19*H19-1))/(H23*H19)*(H24/100)</f>
        <v>0.50608495251950214</v>
      </c>
      <c r="I25" s="30"/>
      <c r="J25" s="2"/>
      <c r="K25" s="3"/>
    </row>
    <row r="26" spans="4:12" x14ac:dyDescent="0.15">
      <c r="D26" s="25"/>
      <c r="E26" s="46"/>
      <c r="F26" s="44"/>
      <c r="G26" s="5" t="s">
        <v>15</v>
      </c>
      <c r="H26" s="6">
        <f>H10/SQRT(1+H23*(1-1/(H19*H19)))</f>
        <v>67.855114374397672</v>
      </c>
      <c r="I26" s="30"/>
      <c r="J26" s="2"/>
      <c r="K26" s="3"/>
    </row>
    <row r="27" spans="4:12" x14ac:dyDescent="0.15">
      <c r="D27" s="25"/>
      <c r="E27" s="47"/>
      <c r="F27" s="44"/>
      <c r="G27" s="5" t="s">
        <v>16</v>
      </c>
      <c r="H27" s="6">
        <f>H10/SQRT(1+H23*(1-1/H20))</f>
        <v>115.47005383792518</v>
      </c>
      <c r="I27" s="30"/>
      <c r="J27" s="2"/>
      <c r="K27" s="3"/>
    </row>
    <row r="28" spans="4:12" x14ac:dyDescent="0.15">
      <c r="D28" s="25"/>
      <c r="E28" s="49" t="s">
        <v>41</v>
      </c>
      <c r="F28" s="50" t="s">
        <v>81</v>
      </c>
      <c r="G28" s="9" t="s">
        <v>52</v>
      </c>
      <c r="H28" s="10">
        <f>1/(2*H11*H10*1000*H22*H25)*1000000000</f>
        <v>5.7037700353060083</v>
      </c>
      <c r="I28" s="30"/>
      <c r="J28" s="2"/>
      <c r="K28" s="3"/>
    </row>
    <row r="29" spans="4:12" x14ac:dyDescent="0.15">
      <c r="D29" s="25"/>
      <c r="E29" s="46"/>
      <c r="F29" s="51"/>
      <c r="G29" s="9" t="s">
        <v>17</v>
      </c>
      <c r="H29" s="10">
        <f>H25*H22/(2*H11*H10*1000)*1000000</f>
        <v>444.54804555558098</v>
      </c>
      <c r="I29" s="30"/>
      <c r="J29" s="2"/>
      <c r="K29" s="36"/>
    </row>
    <row r="30" spans="4:12" x14ac:dyDescent="0.15">
      <c r="D30" s="25"/>
      <c r="E30" s="46"/>
      <c r="F30" s="51"/>
      <c r="G30" s="9" t="s">
        <v>18</v>
      </c>
      <c r="H30" s="10">
        <f>H29*H23</f>
        <v>2222.7402277779047</v>
      </c>
      <c r="I30" s="30"/>
      <c r="J30" s="2"/>
      <c r="K30" s="3"/>
    </row>
    <row r="31" spans="4:12" x14ac:dyDescent="0.15">
      <c r="D31" s="25"/>
      <c r="E31" s="46"/>
      <c r="F31" s="52"/>
      <c r="G31" s="9" t="s">
        <v>62</v>
      </c>
      <c r="H31" s="10">
        <f>K7*(H6+H9)/(2*K10*1000*H15*H16/1000000)</f>
        <v>98.781291667132891</v>
      </c>
      <c r="I31" s="30"/>
      <c r="J31" s="2"/>
      <c r="K31" s="3"/>
    </row>
    <row r="32" spans="4:12" x14ac:dyDescent="0.15">
      <c r="D32" s="25"/>
      <c r="E32" s="46"/>
      <c r="F32" s="52"/>
      <c r="G32" s="9" t="s">
        <v>63</v>
      </c>
      <c r="H32" s="10">
        <f>H31/K7</f>
        <v>13.217500379579327</v>
      </c>
      <c r="I32" s="30"/>
      <c r="J32" s="2"/>
      <c r="K32" s="3"/>
    </row>
    <row r="33" spans="4:11" x14ac:dyDescent="0.15">
      <c r="D33" s="25"/>
      <c r="E33" s="46"/>
      <c r="F33" s="52"/>
      <c r="G33" s="9" t="s">
        <v>58</v>
      </c>
      <c r="H33" s="11">
        <f>SQRT(H37/H17/3.14)*2</f>
        <v>0.1988389152604696</v>
      </c>
      <c r="I33" s="30"/>
      <c r="J33" s="2"/>
      <c r="K33" s="3"/>
    </row>
    <row r="34" spans="4:11" x14ac:dyDescent="0.15">
      <c r="D34" s="25"/>
      <c r="E34" s="47"/>
      <c r="F34" s="53"/>
      <c r="G34" s="9" t="s">
        <v>59</v>
      </c>
      <c r="H34" s="11">
        <f>2*SQRT(1.414*H7/(2*H11*H17))</f>
        <v>0.60021227667389776</v>
      </c>
      <c r="I34" s="30"/>
      <c r="J34" s="2"/>
      <c r="K34" s="3"/>
    </row>
    <row r="35" spans="4:11" x14ac:dyDescent="0.15">
      <c r="D35" s="25"/>
      <c r="E35" s="45" t="s">
        <v>48</v>
      </c>
      <c r="F35" s="44" t="s">
        <v>35</v>
      </c>
      <c r="G35" s="5" t="s">
        <v>19</v>
      </c>
      <c r="H35" s="6">
        <f>H5/(4*H27*1000*(H29/1000000+H30/1000000))</f>
        <v>0.34091803389410741</v>
      </c>
      <c r="I35" s="30"/>
      <c r="J35" s="2"/>
      <c r="K35" s="3"/>
    </row>
    <row r="36" spans="4:11" x14ac:dyDescent="0.15">
      <c r="D36" s="25"/>
      <c r="E36" s="47"/>
      <c r="F36" s="44"/>
      <c r="G36" s="5" t="s">
        <v>20</v>
      </c>
      <c r="H36" s="6">
        <f>2*(H12+H13)/1000000000000*(H5/(200/1000000000))</f>
        <v>1.05</v>
      </c>
      <c r="I36" s="30"/>
      <c r="J36" s="2"/>
      <c r="K36" s="3"/>
    </row>
    <row r="37" spans="4:11" x14ac:dyDescent="0.15">
      <c r="D37" s="25"/>
      <c r="E37" s="40" t="s">
        <v>40</v>
      </c>
      <c r="F37" s="43" t="s">
        <v>39</v>
      </c>
      <c r="G37" s="9" t="s">
        <v>66</v>
      </c>
      <c r="H37" s="10">
        <f>H6/(8*H18*H21)*SQRT(2*H18*H18*H18*H18*H21*H21/(H30/1000000*H30/1000000*H10*1000*H10*1000))</f>
        <v>0.1551823883211938</v>
      </c>
      <c r="I37" s="30"/>
      <c r="J37" s="2"/>
      <c r="K37" s="3"/>
    </row>
    <row r="38" spans="4:11" x14ac:dyDescent="0.15">
      <c r="D38" s="25"/>
      <c r="E38" s="40"/>
      <c r="F38" s="43"/>
      <c r="G38" s="9" t="s">
        <v>23</v>
      </c>
      <c r="H38" s="12">
        <f>H5</f>
        <v>420</v>
      </c>
      <c r="I38" s="30"/>
      <c r="J38" s="2"/>
      <c r="K38" s="3"/>
    </row>
    <row r="39" spans="4:11" x14ac:dyDescent="0.15">
      <c r="D39" s="25"/>
      <c r="E39" s="40"/>
      <c r="F39" s="43"/>
      <c r="G39" s="9" t="s">
        <v>67</v>
      </c>
      <c r="H39" s="12"/>
      <c r="I39" s="30"/>
      <c r="J39" s="2"/>
      <c r="K39" s="3"/>
    </row>
    <row r="40" spans="4:11" x14ac:dyDescent="0.15">
      <c r="D40" s="25"/>
      <c r="E40" s="40"/>
      <c r="F40" s="43"/>
      <c r="G40" s="9" t="s">
        <v>24</v>
      </c>
      <c r="H40" s="10">
        <f>H37/SQRT(2)</f>
        <v>0.10973051910264023</v>
      </c>
      <c r="I40" s="30"/>
      <c r="J40" s="2"/>
      <c r="K40" s="3"/>
    </row>
    <row r="41" spans="4:11" x14ac:dyDescent="0.15">
      <c r="D41" s="25"/>
      <c r="E41" s="40"/>
      <c r="F41" s="43"/>
      <c r="G41" s="9" t="s">
        <v>27</v>
      </c>
      <c r="H41" s="10">
        <f>H40*H14</f>
        <v>0.10973051910264023</v>
      </c>
      <c r="I41" s="30"/>
      <c r="J41" s="2"/>
      <c r="K41" s="3"/>
    </row>
    <row r="42" spans="4:11" x14ac:dyDescent="0.15">
      <c r="D42" s="25"/>
      <c r="E42" s="40"/>
      <c r="F42" s="43" t="s">
        <v>36</v>
      </c>
      <c r="G42" s="9" t="s">
        <v>26</v>
      </c>
      <c r="H42" s="10">
        <f>H7/2</f>
        <v>1</v>
      </c>
      <c r="I42" s="30"/>
      <c r="J42" s="2"/>
      <c r="K42" s="3"/>
    </row>
    <row r="43" spans="4:11" x14ac:dyDescent="0.15">
      <c r="D43" s="25"/>
      <c r="E43" s="40"/>
      <c r="F43" s="43"/>
      <c r="G43" s="9" t="s">
        <v>28</v>
      </c>
      <c r="H43" s="12">
        <f>H42*H9</f>
        <v>0.7</v>
      </c>
      <c r="I43" s="30"/>
      <c r="J43" s="2"/>
      <c r="K43" s="3"/>
    </row>
    <row r="44" spans="4:11" x14ac:dyDescent="0.15">
      <c r="D44" s="25"/>
      <c r="E44" s="40"/>
      <c r="F44" s="43" t="s">
        <v>37</v>
      </c>
      <c r="G44" s="9" t="s">
        <v>29</v>
      </c>
      <c r="H44" s="10">
        <f>H37</f>
        <v>0.1551823883211938</v>
      </c>
      <c r="I44" s="30"/>
      <c r="J44" s="2"/>
      <c r="K44" s="3"/>
    </row>
    <row r="45" spans="4:11" x14ac:dyDescent="0.15">
      <c r="D45" s="25"/>
      <c r="E45" s="40"/>
      <c r="F45" s="43"/>
      <c r="G45" s="9" t="s">
        <v>30</v>
      </c>
      <c r="H45" s="13">
        <f>H5/2+SQRT(2)*H44*(1/(2*H11*H10*1000*H28/1000000000))</f>
        <v>271.26829268292681</v>
      </c>
      <c r="I45" s="30"/>
      <c r="J45" s="2"/>
      <c r="K45" s="3"/>
    </row>
    <row r="46" spans="4:11" ht="27.75" thickBot="1" x14ac:dyDescent="0.2">
      <c r="D46" s="25"/>
      <c r="E46" s="41"/>
      <c r="F46" s="34" t="s">
        <v>38</v>
      </c>
      <c r="G46" s="14" t="s">
        <v>31</v>
      </c>
      <c r="H46" s="15">
        <f>SQRT(H11*H7/(2*SQRT(2))*H11*H7/(2*SQRT(2))-H7*H7)</f>
        <v>0.96426137535421341</v>
      </c>
      <c r="I46" s="30"/>
      <c r="J46" s="2"/>
      <c r="K46" s="3"/>
    </row>
    <row r="47" spans="4:11" ht="14.25" thickTop="1" x14ac:dyDescent="0.15">
      <c r="D47" s="25"/>
      <c r="E47" s="25"/>
      <c r="F47" s="25"/>
      <c r="G47" s="25"/>
      <c r="H47" s="26"/>
      <c r="I47" s="31"/>
    </row>
  </sheetData>
  <mergeCells count="22">
    <mergeCell ref="E28:E34"/>
    <mergeCell ref="F28:F34"/>
    <mergeCell ref="E35:E36"/>
    <mergeCell ref="F35:F36"/>
    <mergeCell ref="E37:E46"/>
    <mergeCell ref="F37:F41"/>
    <mergeCell ref="F42:F43"/>
    <mergeCell ref="F44:F45"/>
    <mergeCell ref="E18:E27"/>
    <mergeCell ref="F18:F20"/>
    <mergeCell ref="F21:F22"/>
    <mergeCell ref="F23:F27"/>
    <mergeCell ref="J23:K23"/>
    <mergeCell ref="J24:K24"/>
    <mergeCell ref="E2:H2"/>
    <mergeCell ref="J2:K2"/>
    <mergeCell ref="E3:E17"/>
    <mergeCell ref="F3:F5"/>
    <mergeCell ref="F6:F8"/>
    <mergeCell ref="F9:F11"/>
    <mergeCell ref="F12:F14"/>
    <mergeCell ref="F15:F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47"/>
  <sheetViews>
    <sheetView tabSelected="1" topLeftCell="A4" workbookViewId="0">
      <selection activeCell="H4" sqref="H4 H6 H9"/>
    </sheetView>
  </sheetViews>
  <sheetFormatPr defaultRowHeight="13.5" x14ac:dyDescent="0.15"/>
  <cols>
    <col min="4" max="4" width="2.625" customWidth="1"/>
    <col min="5" max="5" width="16.875" customWidth="1"/>
    <col min="7" max="7" width="23.375" customWidth="1"/>
    <col min="8" max="8" width="9.625" style="1" customWidth="1"/>
    <col min="9" max="9" width="2.625" customWidth="1"/>
    <col min="10" max="10" width="19.75" customWidth="1"/>
    <col min="11" max="11" width="15.875" style="1" customWidth="1"/>
    <col min="12" max="12" width="0.875" customWidth="1"/>
  </cols>
  <sheetData>
    <row r="1" spans="4:12" ht="13.5" customHeight="1" x14ac:dyDescent="0.15">
      <c r="D1" s="25"/>
      <c r="E1" s="25"/>
      <c r="F1" s="25"/>
      <c r="G1" s="25"/>
      <c r="H1" s="26"/>
      <c r="I1" s="27"/>
      <c r="J1" s="25"/>
      <c r="K1" s="26"/>
      <c r="L1" s="25"/>
    </row>
    <row r="2" spans="4:12" ht="29.25" thickBot="1" x14ac:dyDescent="0.35">
      <c r="D2" s="25"/>
      <c r="E2" s="48" t="s">
        <v>80</v>
      </c>
      <c r="F2" s="48"/>
      <c r="G2" s="48"/>
      <c r="H2" s="48"/>
      <c r="I2" s="28"/>
      <c r="J2" s="54" t="s">
        <v>49</v>
      </c>
      <c r="K2" s="54"/>
      <c r="L2" s="25"/>
    </row>
    <row r="3" spans="4:12" ht="15" thickTop="1" x14ac:dyDescent="0.15">
      <c r="D3" s="25"/>
      <c r="E3" s="55" t="s">
        <v>44</v>
      </c>
      <c r="F3" s="42" t="s">
        <v>43</v>
      </c>
      <c r="G3" s="16" t="s">
        <v>0</v>
      </c>
      <c r="H3" s="32">
        <v>350</v>
      </c>
      <c r="I3" s="28"/>
      <c r="J3" s="23" t="s">
        <v>50</v>
      </c>
      <c r="K3" s="24">
        <v>100</v>
      </c>
      <c r="L3" s="25"/>
    </row>
    <row r="4" spans="4:12" ht="14.25" x14ac:dyDescent="0.15">
      <c r="D4" s="25"/>
      <c r="E4" s="46"/>
      <c r="F4" s="43"/>
      <c r="G4" s="9" t="s">
        <v>1</v>
      </c>
      <c r="H4" s="33">
        <v>400</v>
      </c>
      <c r="I4" s="28"/>
      <c r="J4" s="23" t="s">
        <v>51</v>
      </c>
      <c r="K4" s="24">
        <v>666</v>
      </c>
      <c r="L4" s="25"/>
    </row>
    <row r="5" spans="4:12" ht="14.25" x14ac:dyDescent="0.15">
      <c r="D5" s="25"/>
      <c r="E5" s="46"/>
      <c r="F5" s="43"/>
      <c r="G5" s="9" t="s">
        <v>2</v>
      </c>
      <c r="H5" s="33">
        <v>420</v>
      </c>
      <c r="I5" s="28"/>
      <c r="J5" s="23" t="s">
        <v>52</v>
      </c>
      <c r="K5" s="24">
        <v>22</v>
      </c>
      <c r="L5" s="25"/>
    </row>
    <row r="6" spans="4:12" ht="14.25" x14ac:dyDescent="0.15">
      <c r="D6" s="25"/>
      <c r="E6" s="46"/>
      <c r="F6" s="43" t="s">
        <v>45</v>
      </c>
      <c r="G6" s="9" t="s">
        <v>4</v>
      </c>
      <c r="H6" s="33">
        <v>28</v>
      </c>
      <c r="I6" s="28"/>
      <c r="J6" s="9" t="s">
        <v>53</v>
      </c>
      <c r="K6" s="19">
        <v>3</v>
      </c>
      <c r="L6" s="25"/>
    </row>
    <row r="7" spans="4:12" ht="14.25" x14ac:dyDescent="0.15">
      <c r="D7" s="25"/>
      <c r="E7" s="46"/>
      <c r="F7" s="43"/>
      <c r="G7" s="9" t="s">
        <v>3</v>
      </c>
      <c r="H7" s="33">
        <v>2</v>
      </c>
      <c r="I7" s="28"/>
      <c r="J7" s="9" t="s">
        <v>54</v>
      </c>
      <c r="K7" s="19">
        <f>H18*SQRT((K3+K4)/K4)</f>
        <v>7.4735228924031096</v>
      </c>
      <c r="L7" s="25"/>
    </row>
    <row r="8" spans="4:12" ht="14.25" x14ac:dyDescent="0.15">
      <c r="D8" s="25"/>
      <c r="E8" s="46"/>
      <c r="F8" s="43"/>
      <c r="G8" s="9" t="s">
        <v>5</v>
      </c>
      <c r="H8" s="35">
        <f>H6*H7</f>
        <v>56</v>
      </c>
      <c r="I8" s="28"/>
      <c r="J8" s="9" t="s">
        <v>55</v>
      </c>
      <c r="K8" s="20">
        <f>1/(2*H11*SQRT(K3/1000000000*K5/1000000))/1000</f>
        <v>107.35666599733153</v>
      </c>
      <c r="L8" s="25"/>
    </row>
    <row r="9" spans="4:12" ht="14.25" x14ac:dyDescent="0.15">
      <c r="D9" s="25"/>
      <c r="E9" s="46"/>
      <c r="F9" s="50" t="s">
        <v>46</v>
      </c>
      <c r="G9" s="9" t="s">
        <v>8</v>
      </c>
      <c r="H9" s="33">
        <v>0.7</v>
      </c>
      <c r="I9" s="28"/>
      <c r="J9" s="9" t="s">
        <v>14</v>
      </c>
      <c r="K9" s="21">
        <f>1/(2*H11*K8*1000*H22*K5/1000000000)</f>
        <v>0.12221759550423807</v>
      </c>
      <c r="L9" s="25"/>
    </row>
    <row r="10" spans="4:12" ht="14.25" x14ac:dyDescent="0.15">
      <c r="D10" s="25"/>
      <c r="E10" s="46"/>
      <c r="F10" s="52"/>
      <c r="G10" s="9" t="s">
        <v>6</v>
      </c>
      <c r="H10" s="33">
        <v>100</v>
      </c>
      <c r="I10" s="28"/>
      <c r="J10" s="9" t="s">
        <v>68</v>
      </c>
      <c r="K10" s="20">
        <f>H10/SQRT(1+H23*(1-1/(H19*H19)))</f>
        <v>67.855114374397672</v>
      </c>
      <c r="L10" s="25"/>
    </row>
    <row r="11" spans="4:12" ht="14.25" x14ac:dyDescent="0.15">
      <c r="D11" s="25"/>
      <c r="E11" s="46"/>
      <c r="F11" s="53"/>
      <c r="G11" s="9" t="s">
        <v>12</v>
      </c>
      <c r="H11" s="33">
        <v>3.14</v>
      </c>
      <c r="I11" s="28"/>
      <c r="J11" s="9" t="s">
        <v>69</v>
      </c>
      <c r="K11" s="19">
        <f>H10/SQRT(1+H23*(1-1/H20))</f>
        <v>115.47005383792518</v>
      </c>
      <c r="L11" s="25"/>
    </row>
    <row r="12" spans="4:12" ht="14.25" x14ac:dyDescent="0.15">
      <c r="D12" s="25"/>
      <c r="E12" s="46"/>
      <c r="F12" s="43" t="s">
        <v>61</v>
      </c>
      <c r="G12" s="9" t="s">
        <v>22</v>
      </c>
      <c r="H12" s="33">
        <v>150</v>
      </c>
      <c r="I12" s="28"/>
      <c r="J12" s="9" t="s">
        <v>70</v>
      </c>
      <c r="K12" s="18">
        <v>70</v>
      </c>
      <c r="L12" s="25"/>
    </row>
    <row r="13" spans="4:12" ht="14.25" x14ac:dyDescent="0.15">
      <c r="D13" s="25"/>
      <c r="E13" s="46"/>
      <c r="F13" s="56"/>
      <c r="G13" s="9" t="s">
        <v>21</v>
      </c>
      <c r="H13" s="33">
        <v>100</v>
      </c>
      <c r="I13" s="28"/>
      <c r="J13" s="9" t="s">
        <v>71</v>
      </c>
      <c r="K13" s="17">
        <v>11</v>
      </c>
      <c r="L13" s="25"/>
    </row>
    <row r="14" spans="4:12" ht="14.25" x14ac:dyDescent="0.15">
      <c r="D14" s="25"/>
      <c r="E14" s="46"/>
      <c r="F14" s="56"/>
      <c r="G14" s="9" t="s">
        <v>25</v>
      </c>
      <c r="H14" s="33">
        <v>1</v>
      </c>
      <c r="I14" s="28"/>
      <c r="J14" s="23" t="s">
        <v>72</v>
      </c>
      <c r="K14" s="24">
        <v>0.1</v>
      </c>
      <c r="L14" s="25"/>
    </row>
    <row r="15" spans="4:12" ht="14.25" x14ac:dyDescent="0.15">
      <c r="D15" s="25"/>
      <c r="E15" s="46"/>
      <c r="F15" s="43" t="s">
        <v>60</v>
      </c>
      <c r="G15" s="9" t="s">
        <v>56</v>
      </c>
      <c r="H15" s="33">
        <v>0.25</v>
      </c>
      <c r="I15" s="28"/>
      <c r="J15" s="23" t="s">
        <v>73</v>
      </c>
      <c r="K15" s="24">
        <v>0.1</v>
      </c>
      <c r="L15" s="25"/>
    </row>
    <row r="16" spans="4:12" ht="15.75" x14ac:dyDescent="0.15">
      <c r="D16" s="25"/>
      <c r="E16" s="46"/>
      <c r="F16" s="43"/>
      <c r="G16" s="9" t="s">
        <v>57</v>
      </c>
      <c r="H16" s="33">
        <v>64</v>
      </c>
      <c r="I16" s="28"/>
      <c r="J16" s="23" t="s">
        <v>64</v>
      </c>
      <c r="K16" s="24">
        <v>20</v>
      </c>
      <c r="L16" s="25"/>
    </row>
    <row r="17" spans="4:12" ht="15.75" x14ac:dyDescent="0.15">
      <c r="D17" s="25"/>
      <c r="E17" s="47"/>
      <c r="F17" s="43"/>
      <c r="G17" s="9" t="s">
        <v>74</v>
      </c>
      <c r="H17" s="33">
        <v>5</v>
      </c>
      <c r="I17" s="28"/>
      <c r="J17" s="23" t="s">
        <v>65</v>
      </c>
      <c r="K17" s="24">
        <v>200</v>
      </c>
      <c r="L17" s="25"/>
    </row>
    <row r="18" spans="4:12" ht="15.75" x14ac:dyDescent="0.15">
      <c r="D18" s="25"/>
      <c r="E18" s="45" t="s">
        <v>42</v>
      </c>
      <c r="F18" s="44" t="s">
        <v>47</v>
      </c>
      <c r="G18" s="5" t="s">
        <v>7</v>
      </c>
      <c r="H18" s="6">
        <f>H4/2/(H6+H9)</f>
        <v>6.9686411149825789</v>
      </c>
      <c r="I18" s="28"/>
      <c r="J18" s="9" t="s">
        <v>76</v>
      </c>
      <c r="K18" s="22">
        <f>K14/2*K14/2*3.14*K16</f>
        <v>0.15700000000000003</v>
      </c>
      <c r="L18" s="25"/>
    </row>
    <row r="19" spans="4:12" ht="15.75" x14ac:dyDescent="0.15">
      <c r="D19" s="25"/>
      <c r="E19" s="46"/>
      <c r="F19" s="44"/>
      <c r="G19" s="5" t="s">
        <v>9</v>
      </c>
      <c r="H19" s="7">
        <f>2*H18*(H6+H9)/H3</f>
        <v>1.1428571428571428</v>
      </c>
      <c r="I19" s="28"/>
      <c r="J19" s="9" t="s">
        <v>75</v>
      </c>
      <c r="K19" s="22">
        <f>K15/2*K15/2*H11*K17</f>
        <v>1.5700000000000003</v>
      </c>
      <c r="L19" s="25"/>
    </row>
    <row r="20" spans="4:12" ht="15.75" x14ac:dyDescent="0.15">
      <c r="D20" s="25"/>
      <c r="E20" s="46"/>
      <c r="F20" s="44"/>
      <c r="G20" s="5" t="s">
        <v>10</v>
      </c>
      <c r="H20" s="8">
        <f>2*H18*(H6+H9)/H5</f>
        <v>0.95238095238095233</v>
      </c>
      <c r="I20" s="28"/>
      <c r="J20" s="9" t="s">
        <v>77</v>
      </c>
      <c r="K20" s="20">
        <f>H37/K18</f>
        <v>0.98842285554900489</v>
      </c>
      <c r="L20" s="25"/>
    </row>
    <row r="21" spans="4:12" ht="15.75" x14ac:dyDescent="0.15">
      <c r="D21" s="25"/>
      <c r="E21" s="46"/>
      <c r="F21" s="44" t="s">
        <v>32</v>
      </c>
      <c r="G21" s="5" t="s">
        <v>33</v>
      </c>
      <c r="H21" s="7">
        <f>H6/H7</f>
        <v>14</v>
      </c>
      <c r="I21" s="28"/>
      <c r="J21" s="9" t="s">
        <v>78</v>
      </c>
      <c r="K21" s="20">
        <f>H42*1.414/K19</f>
        <v>0.90063694267515904</v>
      </c>
      <c r="L21" s="25"/>
    </row>
    <row r="22" spans="4:12" x14ac:dyDescent="0.15">
      <c r="D22" s="25"/>
      <c r="E22" s="46"/>
      <c r="F22" s="44"/>
      <c r="G22" s="5" t="s">
        <v>11</v>
      </c>
      <c r="H22" s="6">
        <f>8*H18*H18*H21/(H11*H11)</f>
        <v>551.63895156149044</v>
      </c>
      <c r="I22" s="28"/>
      <c r="J22" s="9" t="s">
        <v>79</v>
      </c>
      <c r="K22" s="21">
        <f>K12/K13/K7</f>
        <v>0.85149085046692585</v>
      </c>
      <c r="L22" s="25"/>
    </row>
    <row r="23" spans="4:12" x14ac:dyDescent="0.15">
      <c r="D23" s="25"/>
      <c r="E23" s="46"/>
      <c r="F23" s="44" t="s">
        <v>34</v>
      </c>
      <c r="G23" s="5" t="s">
        <v>13</v>
      </c>
      <c r="H23" s="4">
        <v>5</v>
      </c>
      <c r="I23" s="29"/>
      <c r="J23" s="57" t="s">
        <v>83</v>
      </c>
      <c r="K23" s="58"/>
      <c r="L23" s="25"/>
    </row>
    <row r="24" spans="4:12" x14ac:dyDescent="0.15">
      <c r="D24" s="25"/>
      <c r="E24" s="46"/>
      <c r="F24" s="44"/>
      <c r="G24" s="5" t="s">
        <v>82</v>
      </c>
      <c r="H24" s="4">
        <v>100</v>
      </c>
      <c r="I24" s="29"/>
      <c r="J24" s="59" t="s">
        <v>84</v>
      </c>
      <c r="K24" s="60"/>
      <c r="L24" s="25"/>
    </row>
    <row r="25" spans="4:12" x14ac:dyDescent="0.15">
      <c r="D25" s="25"/>
      <c r="E25" s="46"/>
      <c r="F25" s="44"/>
      <c r="G25" s="5" t="s">
        <v>14</v>
      </c>
      <c r="H25" s="8">
        <f>0.95*SQRT(H23+H19*H19/(H19*H19-1))/(H23*H19)*(H24/100)</f>
        <v>0.50608495251950214</v>
      </c>
      <c r="I25" s="30"/>
      <c r="J25" s="2"/>
      <c r="K25" s="3"/>
    </row>
    <row r="26" spans="4:12" x14ac:dyDescent="0.15">
      <c r="D26" s="25"/>
      <c r="E26" s="46"/>
      <c r="F26" s="44"/>
      <c r="G26" s="5" t="s">
        <v>15</v>
      </c>
      <c r="H26" s="6">
        <f>H10/SQRT(1+H23*(1-1/(H19*H19)))</f>
        <v>67.855114374397672</v>
      </c>
      <c r="I26" s="30"/>
      <c r="J26" s="2"/>
      <c r="K26" s="3"/>
    </row>
    <row r="27" spans="4:12" x14ac:dyDescent="0.15">
      <c r="D27" s="25"/>
      <c r="E27" s="47"/>
      <c r="F27" s="44"/>
      <c r="G27" s="5" t="s">
        <v>16</v>
      </c>
      <c r="H27" s="6">
        <f>H10/SQRT(1+H23*(1-1/H20))</f>
        <v>115.47005383792518</v>
      </c>
      <c r="I27" s="30"/>
      <c r="J27" s="2"/>
      <c r="K27" s="3"/>
    </row>
    <row r="28" spans="4:12" x14ac:dyDescent="0.15">
      <c r="D28" s="25"/>
      <c r="E28" s="49" t="s">
        <v>41</v>
      </c>
      <c r="F28" s="50" t="s">
        <v>81</v>
      </c>
      <c r="G28" s="9" t="s">
        <v>52</v>
      </c>
      <c r="H28" s="10">
        <f>1/(2*H11*H10*1000*H22*H25)*1000000000</f>
        <v>5.7037700353060083</v>
      </c>
      <c r="I28" s="30"/>
      <c r="J28" s="2"/>
      <c r="K28" s="3"/>
    </row>
    <row r="29" spans="4:12" x14ac:dyDescent="0.15">
      <c r="D29" s="25"/>
      <c r="E29" s="46"/>
      <c r="F29" s="51"/>
      <c r="G29" s="9" t="s">
        <v>17</v>
      </c>
      <c r="H29" s="10">
        <f>H25*H22/(2*H11*H10*1000)*1000000</f>
        <v>444.54804555558098</v>
      </c>
      <c r="I29" s="30"/>
      <c r="J29" s="2"/>
      <c r="K29" s="36"/>
    </row>
    <row r="30" spans="4:12" x14ac:dyDescent="0.15">
      <c r="D30" s="25"/>
      <c r="E30" s="46"/>
      <c r="F30" s="51"/>
      <c r="G30" s="9" t="s">
        <v>18</v>
      </c>
      <c r="H30" s="10">
        <f>H29*H23</f>
        <v>2222.7402277779047</v>
      </c>
      <c r="I30" s="30"/>
      <c r="J30" s="2"/>
      <c r="K30" s="3"/>
    </row>
    <row r="31" spans="4:12" x14ac:dyDescent="0.15">
      <c r="D31" s="25"/>
      <c r="E31" s="46"/>
      <c r="F31" s="52"/>
      <c r="G31" s="9" t="s">
        <v>62</v>
      </c>
      <c r="H31" s="10">
        <f>K7*(H6+H9)/(2*K10*1000*H15*H16/1000000)</f>
        <v>98.781291667132891</v>
      </c>
      <c r="I31" s="30"/>
      <c r="J31" s="2"/>
      <c r="K31" s="3"/>
    </row>
    <row r="32" spans="4:12" x14ac:dyDescent="0.15">
      <c r="D32" s="25"/>
      <c r="E32" s="46"/>
      <c r="F32" s="52"/>
      <c r="G32" s="9" t="s">
        <v>63</v>
      </c>
      <c r="H32" s="10">
        <f>H31/K7</f>
        <v>13.217500379579327</v>
      </c>
      <c r="I32" s="30"/>
      <c r="J32" s="2"/>
      <c r="K32" s="3"/>
    </row>
    <row r="33" spans="4:11" x14ac:dyDescent="0.15">
      <c r="D33" s="25"/>
      <c r="E33" s="46"/>
      <c r="F33" s="52"/>
      <c r="G33" s="9" t="s">
        <v>58</v>
      </c>
      <c r="H33" s="11">
        <f>SQRT(H37/H17/3.14)*2</f>
        <v>0.1988389152604696</v>
      </c>
      <c r="I33" s="30"/>
      <c r="J33" s="2"/>
      <c r="K33" s="3"/>
    </row>
    <row r="34" spans="4:11" x14ac:dyDescent="0.15">
      <c r="D34" s="25"/>
      <c r="E34" s="47"/>
      <c r="F34" s="53"/>
      <c r="G34" s="9" t="s">
        <v>59</v>
      </c>
      <c r="H34" s="11">
        <f>2*SQRT(1.414*H7/(2*H11*H17))</f>
        <v>0.60021227667389776</v>
      </c>
      <c r="I34" s="30"/>
      <c r="J34" s="2"/>
      <c r="K34" s="3"/>
    </row>
    <row r="35" spans="4:11" x14ac:dyDescent="0.15">
      <c r="D35" s="25"/>
      <c r="E35" s="45" t="s">
        <v>48</v>
      </c>
      <c r="F35" s="44" t="s">
        <v>35</v>
      </c>
      <c r="G35" s="5" t="s">
        <v>19</v>
      </c>
      <c r="H35" s="6">
        <f>H5/(4*H27*1000*(H29/1000000+H30/1000000))</f>
        <v>0.34091803389410741</v>
      </c>
      <c r="I35" s="30"/>
      <c r="J35" s="2"/>
      <c r="K35" s="3"/>
    </row>
    <row r="36" spans="4:11" x14ac:dyDescent="0.15">
      <c r="D36" s="25"/>
      <c r="E36" s="47"/>
      <c r="F36" s="44"/>
      <c r="G36" s="5" t="s">
        <v>20</v>
      </c>
      <c r="H36" s="6">
        <f>2*(H12+H13)/1000000000000*(H5/(200/1000000000))</f>
        <v>1.05</v>
      </c>
      <c r="I36" s="30"/>
      <c r="J36" s="2"/>
      <c r="K36" s="3"/>
    </row>
    <row r="37" spans="4:11" x14ac:dyDescent="0.15">
      <c r="D37" s="25"/>
      <c r="E37" s="40" t="s">
        <v>40</v>
      </c>
      <c r="F37" s="43" t="s">
        <v>39</v>
      </c>
      <c r="G37" s="9" t="s">
        <v>66</v>
      </c>
      <c r="H37" s="10">
        <f>H6/(8*H18*H21)*SQRT(2*H18*H18*H18*H18*H21*H21/(H30/1000000*H30/1000000*H10*1000*H10*1000))</f>
        <v>0.1551823883211938</v>
      </c>
      <c r="I37" s="30"/>
      <c r="J37" s="2"/>
      <c r="K37" s="3"/>
    </row>
    <row r="38" spans="4:11" x14ac:dyDescent="0.15">
      <c r="D38" s="25"/>
      <c r="E38" s="40"/>
      <c r="F38" s="43"/>
      <c r="G38" s="9" t="s">
        <v>23</v>
      </c>
      <c r="H38" s="12">
        <f>H5</f>
        <v>420</v>
      </c>
      <c r="I38" s="30"/>
      <c r="J38" s="2"/>
      <c r="K38" s="3"/>
    </row>
    <row r="39" spans="4:11" x14ac:dyDescent="0.15">
      <c r="D39" s="25"/>
      <c r="E39" s="40"/>
      <c r="F39" s="43"/>
      <c r="G39" s="9" t="s">
        <v>67</v>
      </c>
      <c r="H39" s="12"/>
      <c r="I39" s="30"/>
      <c r="J39" s="2"/>
      <c r="K39" s="3"/>
    </row>
    <row r="40" spans="4:11" x14ac:dyDescent="0.15">
      <c r="D40" s="25"/>
      <c r="E40" s="40"/>
      <c r="F40" s="43"/>
      <c r="G40" s="9" t="s">
        <v>24</v>
      </c>
      <c r="H40" s="10">
        <f>H37/SQRT(2)</f>
        <v>0.10973051910264023</v>
      </c>
      <c r="I40" s="30"/>
      <c r="J40" s="2"/>
      <c r="K40" s="3"/>
    </row>
    <row r="41" spans="4:11" x14ac:dyDescent="0.15">
      <c r="D41" s="25"/>
      <c r="E41" s="40"/>
      <c r="F41" s="43"/>
      <c r="G41" s="9" t="s">
        <v>27</v>
      </c>
      <c r="H41" s="10">
        <f>H40*H14</f>
        <v>0.10973051910264023</v>
      </c>
      <c r="I41" s="30"/>
      <c r="J41" s="2"/>
      <c r="K41" s="3"/>
    </row>
    <row r="42" spans="4:11" x14ac:dyDescent="0.15">
      <c r="D42" s="25"/>
      <c r="E42" s="40"/>
      <c r="F42" s="43" t="s">
        <v>36</v>
      </c>
      <c r="G42" s="9" t="s">
        <v>26</v>
      </c>
      <c r="H42" s="10">
        <f>H7/2</f>
        <v>1</v>
      </c>
      <c r="I42" s="30"/>
      <c r="J42" s="2"/>
      <c r="K42" s="3"/>
    </row>
    <row r="43" spans="4:11" x14ac:dyDescent="0.15">
      <c r="D43" s="25"/>
      <c r="E43" s="40"/>
      <c r="F43" s="43"/>
      <c r="G43" s="9" t="s">
        <v>28</v>
      </c>
      <c r="H43" s="12">
        <f>H42*H9</f>
        <v>0.7</v>
      </c>
      <c r="I43" s="30"/>
      <c r="J43" s="2"/>
      <c r="K43" s="3"/>
    </row>
    <row r="44" spans="4:11" x14ac:dyDescent="0.15">
      <c r="D44" s="25"/>
      <c r="E44" s="40"/>
      <c r="F44" s="43" t="s">
        <v>37</v>
      </c>
      <c r="G44" s="9" t="s">
        <v>29</v>
      </c>
      <c r="H44" s="10">
        <f>H37</f>
        <v>0.1551823883211938</v>
      </c>
      <c r="I44" s="30"/>
      <c r="J44" s="2"/>
      <c r="K44" s="3"/>
    </row>
    <row r="45" spans="4:11" x14ac:dyDescent="0.15">
      <c r="D45" s="25"/>
      <c r="E45" s="40"/>
      <c r="F45" s="43"/>
      <c r="G45" s="9" t="s">
        <v>30</v>
      </c>
      <c r="H45" s="13">
        <f>H5/2+SQRT(2)*H44*(1/(2*H11*H10*1000*H28/1000000000))</f>
        <v>271.26829268292681</v>
      </c>
      <c r="I45" s="30"/>
      <c r="J45" s="2"/>
      <c r="K45" s="3"/>
    </row>
    <row r="46" spans="4:11" ht="27.75" thickBot="1" x14ac:dyDescent="0.2">
      <c r="D46" s="25"/>
      <c r="E46" s="41"/>
      <c r="F46" s="34" t="s">
        <v>38</v>
      </c>
      <c r="G46" s="14" t="s">
        <v>31</v>
      </c>
      <c r="H46" s="15">
        <f>SQRT(H11*H7/(2*SQRT(2))*H11*H7/(2*SQRT(2))-H7*H7)</f>
        <v>0.96426137535421341</v>
      </c>
      <c r="I46" s="30"/>
      <c r="J46" s="2"/>
      <c r="K46" s="3"/>
    </row>
    <row r="47" spans="4:11" ht="14.25" thickTop="1" x14ac:dyDescent="0.15">
      <c r="D47" s="25"/>
      <c r="E47" s="25"/>
      <c r="F47" s="25"/>
      <c r="G47" s="25"/>
      <c r="H47" s="26"/>
      <c r="I47" s="31"/>
    </row>
  </sheetData>
  <mergeCells count="22">
    <mergeCell ref="E2:H2"/>
    <mergeCell ref="E28:E34"/>
    <mergeCell ref="F28:F34"/>
    <mergeCell ref="F35:F36"/>
    <mergeCell ref="J2:K2"/>
    <mergeCell ref="E3:E17"/>
    <mergeCell ref="F15:F17"/>
    <mergeCell ref="F12:F14"/>
    <mergeCell ref="F9:F11"/>
    <mergeCell ref="J23:K23"/>
    <mergeCell ref="J24:K24"/>
    <mergeCell ref="E37:E46"/>
    <mergeCell ref="F3:F5"/>
    <mergeCell ref="F6:F8"/>
    <mergeCell ref="F18:F20"/>
    <mergeCell ref="F21:F22"/>
    <mergeCell ref="F23:F27"/>
    <mergeCell ref="E18:E27"/>
    <mergeCell ref="E35:E36"/>
    <mergeCell ref="F37:F41"/>
    <mergeCell ref="F42:F43"/>
    <mergeCell ref="F44:F4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4:S43"/>
  <sheetViews>
    <sheetView topLeftCell="A10" workbookViewId="0">
      <selection activeCell="H46" sqref="H46"/>
    </sheetView>
  </sheetViews>
  <sheetFormatPr defaultRowHeight="13.5" x14ac:dyDescent="0.15"/>
  <cols>
    <col min="5" max="5" width="17.375" customWidth="1"/>
    <col min="11" max="11" width="14.75" customWidth="1"/>
  </cols>
  <sheetData>
    <row r="14" spans="5:19" x14ac:dyDescent="0.15">
      <c r="E14" t="s">
        <v>85</v>
      </c>
      <c r="F14" t="s">
        <v>86</v>
      </c>
      <c r="G14" t="s">
        <v>87</v>
      </c>
      <c r="H14" t="s">
        <v>88</v>
      </c>
      <c r="I14" s="37" t="s">
        <v>89</v>
      </c>
      <c r="J14" s="37" t="s">
        <v>90</v>
      </c>
      <c r="K14" s="37" t="s">
        <v>91</v>
      </c>
      <c r="M14" t="s">
        <v>85</v>
      </c>
      <c r="N14" t="s">
        <v>86</v>
      </c>
      <c r="O14" t="s">
        <v>87</v>
      </c>
      <c r="P14" t="s">
        <v>88</v>
      </c>
      <c r="Q14" s="37" t="s">
        <v>89</v>
      </c>
      <c r="R14" s="37" t="s">
        <v>90</v>
      </c>
      <c r="S14" s="37" t="s">
        <v>91</v>
      </c>
    </row>
    <row r="15" spans="5:19" x14ac:dyDescent="0.15">
      <c r="E15" s="37">
        <v>100</v>
      </c>
      <c r="F15" s="37">
        <v>400</v>
      </c>
      <c r="G15" s="37">
        <v>20</v>
      </c>
      <c r="H15" s="37">
        <f>F15/2/G15</f>
        <v>10</v>
      </c>
      <c r="I15" s="37">
        <f>2*H15*G15/(E15)</f>
        <v>4</v>
      </c>
      <c r="J15" s="37">
        <v>5</v>
      </c>
      <c r="K15" s="38">
        <f>SQRT(J15+I15*I15/(I15*I15-1))/(J15*I15)</f>
        <v>0.12315302134607445</v>
      </c>
      <c r="M15" s="37">
        <v>350</v>
      </c>
      <c r="N15" s="37">
        <v>400</v>
      </c>
      <c r="O15" s="37">
        <v>20</v>
      </c>
      <c r="P15" s="37">
        <f>N15/2/O15</f>
        <v>10</v>
      </c>
      <c r="Q15" s="37">
        <f>2*P15*O15/(M15)</f>
        <v>1.1428571428571428</v>
      </c>
      <c r="R15" s="37">
        <v>1</v>
      </c>
      <c r="S15" s="38">
        <f>SQRT(R15+Q15*Q15/(Q15*Q15-1))/(R15*Q15)</f>
        <v>2.0080566891068261</v>
      </c>
    </row>
    <row r="16" spans="5:19" x14ac:dyDescent="0.15">
      <c r="E16" s="37">
        <v>150</v>
      </c>
      <c r="F16" s="37">
        <v>400</v>
      </c>
      <c r="G16" s="37">
        <v>20</v>
      </c>
      <c r="H16" s="37">
        <f t="shared" ref="H16:H43" si="0">F16/2/G16</f>
        <v>10</v>
      </c>
      <c r="I16" s="37">
        <f t="shared" ref="I16:I43" si="1">2*H16*G16/(E16)</f>
        <v>2.6666666666666665</v>
      </c>
      <c r="J16" s="37">
        <v>5</v>
      </c>
      <c r="K16" s="38">
        <f>SQRT(J16+I16*I16/(I16*I16-1))/(J16*I16)</f>
        <v>0.18620003905868163</v>
      </c>
      <c r="M16" s="37">
        <v>350</v>
      </c>
      <c r="N16" s="37">
        <v>400</v>
      </c>
      <c r="O16" s="37">
        <v>20</v>
      </c>
      <c r="P16" s="37">
        <f t="shared" ref="P16:P43" si="2">N16/2/O16</f>
        <v>10</v>
      </c>
      <c r="Q16" s="37">
        <f t="shared" ref="Q16:Q43" si="3">2*P16*O16/(M16)</f>
        <v>1.1428571428571428</v>
      </c>
      <c r="R16" s="37">
        <v>2</v>
      </c>
      <c r="S16" s="38">
        <f>SQRT(R16+Q16*Q16/(Q16*Q16-1))/(R16*Q16)</f>
        <v>1.095207362405251</v>
      </c>
    </row>
    <row r="17" spans="5:19" x14ac:dyDescent="0.15">
      <c r="E17" s="37">
        <v>200</v>
      </c>
      <c r="F17" s="37">
        <v>400</v>
      </c>
      <c r="G17" s="37">
        <v>20</v>
      </c>
      <c r="H17" s="37">
        <f t="shared" si="0"/>
        <v>10</v>
      </c>
      <c r="I17" s="37">
        <f t="shared" si="1"/>
        <v>2</v>
      </c>
      <c r="J17" s="37">
        <v>5</v>
      </c>
      <c r="K17" s="38">
        <f t="shared" ref="K17:K43" si="4">SQRT(J17+I17*I17/(I17*I17-1))/(J17*I17)</f>
        <v>0.25166114784235832</v>
      </c>
      <c r="M17" s="37">
        <v>350</v>
      </c>
      <c r="N17" s="37">
        <v>400</v>
      </c>
      <c r="O17" s="37">
        <v>20</v>
      </c>
      <c r="P17" s="37">
        <f t="shared" si="2"/>
        <v>10</v>
      </c>
      <c r="Q17" s="37">
        <f t="shared" si="3"/>
        <v>1.1428571428571428</v>
      </c>
      <c r="R17" s="37">
        <v>3</v>
      </c>
      <c r="S17" s="38">
        <f t="shared" ref="S17:S43" si="5">SQRT(R17+Q17*Q17/(Q17*Q17-1))/(R17*Q17)</f>
        <v>0.78623870185605627</v>
      </c>
    </row>
    <row r="18" spans="5:19" x14ac:dyDescent="0.15">
      <c r="E18" s="37">
        <v>250</v>
      </c>
      <c r="F18" s="37">
        <v>400</v>
      </c>
      <c r="G18" s="37">
        <v>20</v>
      </c>
      <c r="H18" s="37">
        <f t="shared" si="0"/>
        <v>10</v>
      </c>
      <c r="I18" s="37">
        <f t="shared" si="1"/>
        <v>1.6</v>
      </c>
      <c r="J18" s="37">
        <v>5</v>
      </c>
      <c r="K18" s="38">
        <f t="shared" si="4"/>
        <v>0.32212734382698038</v>
      </c>
      <c r="M18" s="37">
        <v>350</v>
      </c>
      <c r="N18" s="37">
        <v>400</v>
      </c>
      <c r="O18" s="37">
        <v>20</v>
      </c>
      <c r="P18" s="37">
        <f t="shared" si="2"/>
        <v>10</v>
      </c>
      <c r="Q18" s="37">
        <f t="shared" si="3"/>
        <v>1.1428571428571428</v>
      </c>
      <c r="R18" s="37">
        <v>4</v>
      </c>
      <c r="S18" s="38">
        <f t="shared" si="5"/>
        <v>0.62894587737472829</v>
      </c>
    </row>
    <row r="19" spans="5:19" x14ac:dyDescent="0.15">
      <c r="E19" s="37">
        <v>300</v>
      </c>
      <c r="F19" s="37">
        <v>400</v>
      </c>
      <c r="G19" s="37">
        <v>20</v>
      </c>
      <c r="H19" s="37">
        <f t="shared" si="0"/>
        <v>10</v>
      </c>
      <c r="I19" s="37">
        <f t="shared" si="1"/>
        <v>1.3333333333333333</v>
      </c>
      <c r="J19" s="37">
        <v>5</v>
      </c>
      <c r="K19" s="38">
        <f t="shared" si="4"/>
        <v>0.40488093487909688</v>
      </c>
      <c r="M19" s="37">
        <v>350</v>
      </c>
      <c r="N19" s="37">
        <v>400</v>
      </c>
      <c r="O19" s="37">
        <v>20</v>
      </c>
      <c r="P19" s="37">
        <f t="shared" si="2"/>
        <v>10</v>
      </c>
      <c r="Q19" s="37">
        <f t="shared" si="3"/>
        <v>1.1428571428571428</v>
      </c>
      <c r="R19" s="37">
        <v>5</v>
      </c>
      <c r="S19" s="38">
        <f t="shared" si="5"/>
        <v>0.53272100265210753</v>
      </c>
    </row>
    <row r="20" spans="5:19" x14ac:dyDescent="0.15">
      <c r="E20" s="37">
        <v>350</v>
      </c>
      <c r="F20" s="37">
        <v>400</v>
      </c>
      <c r="G20" s="37">
        <v>20</v>
      </c>
      <c r="H20" s="37">
        <f t="shared" si="0"/>
        <v>10</v>
      </c>
      <c r="I20" s="37">
        <f t="shared" si="1"/>
        <v>1.1428571428571428</v>
      </c>
      <c r="J20" s="37">
        <v>5</v>
      </c>
      <c r="K20" s="38">
        <f t="shared" si="4"/>
        <v>0.53272100265210753</v>
      </c>
      <c r="M20" s="37">
        <v>350</v>
      </c>
      <c r="N20" s="37">
        <v>400</v>
      </c>
      <c r="O20" s="37">
        <v>20</v>
      </c>
      <c r="P20" s="37">
        <f t="shared" si="2"/>
        <v>10</v>
      </c>
      <c r="Q20" s="37">
        <f t="shared" si="3"/>
        <v>1.1428571428571428</v>
      </c>
      <c r="R20" s="37">
        <v>6</v>
      </c>
      <c r="S20" s="38">
        <f t="shared" si="5"/>
        <v>0.46727391047158567</v>
      </c>
    </row>
    <row r="21" spans="5:19" x14ac:dyDescent="0.15">
      <c r="E21" s="37">
        <v>360</v>
      </c>
      <c r="F21" s="37">
        <v>400</v>
      </c>
      <c r="G21" s="37">
        <v>20</v>
      </c>
      <c r="H21" s="37">
        <f t="shared" si="0"/>
        <v>10</v>
      </c>
      <c r="I21" s="37">
        <f t="shared" si="1"/>
        <v>1.1111111111111112</v>
      </c>
      <c r="J21" s="37">
        <v>6</v>
      </c>
      <c r="K21" s="38">
        <f t="shared" si="4"/>
        <v>0.50340942842936387</v>
      </c>
      <c r="M21" s="37">
        <v>350</v>
      </c>
      <c r="N21" s="37">
        <v>400</v>
      </c>
      <c r="O21" s="37">
        <v>20</v>
      </c>
      <c r="P21" s="37">
        <f t="shared" si="2"/>
        <v>10</v>
      </c>
      <c r="Q21" s="37">
        <f t="shared" si="3"/>
        <v>1.1428571428571428</v>
      </c>
      <c r="R21" s="37">
        <v>7</v>
      </c>
      <c r="S21" s="38">
        <f t="shared" si="5"/>
        <v>0.41957319583913683</v>
      </c>
    </row>
    <row r="22" spans="5:19" x14ac:dyDescent="0.15">
      <c r="E22" s="37">
        <v>370</v>
      </c>
      <c r="F22" s="37">
        <v>400</v>
      </c>
      <c r="G22" s="37">
        <v>20</v>
      </c>
      <c r="H22" s="37">
        <f t="shared" si="0"/>
        <v>10</v>
      </c>
      <c r="I22" s="37">
        <f t="shared" si="1"/>
        <v>1.0810810810810811</v>
      </c>
      <c r="J22" s="37">
        <v>7</v>
      </c>
      <c r="K22" s="38">
        <f t="shared" si="4"/>
        <v>0.4931320543098941</v>
      </c>
      <c r="M22" s="37">
        <v>350</v>
      </c>
      <c r="N22" s="37">
        <v>400</v>
      </c>
      <c r="O22" s="37">
        <v>20</v>
      </c>
      <c r="P22" s="37">
        <f t="shared" si="2"/>
        <v>10</v>
      </c>
      <c r="Q22" s="37">
        <f t="shared" si="3"/>
        <v>1.1428571428571428</v>
      </c>
      <c r="R22" s="37">
        <v>8</v>
      </c>
      <c r="S22" s="38">
        <f t="shared" si="5"/>
        <v>0.3830728281497745</v>
      </c>
    </row>
    <row r="23" spans="5:19" x14ac:dyDescent="0.15">
      <c r="E23" s="37">
        <v>380</v>
      </c>
      <c r="F23" s="37">
        <v>400</v>
      </c>
      <c r="G23" s="37">
        <v>20</v>
      </c>
      <c r="H23" s="37">
        <f t="shared" si="0"/>
        <v>10</v>
      </c>
      <c r="I23" s="37">
        <f t="shared" si="1"/>
        <v>1.0526315789473684</v>
      </c>
      <c r="J23" s="37">
        <v>8</v>
      </c>
      <c r="K23" s="38">
        <f t="shared" si="4"/>
        <v>0.50738930837810381</v>
      </c>
      <c r="M23" s="37">
        <v>350</v>
      </c>
      <c r="N23" s="37">
        <v>400</v>
      </c>
      <c r="O23" s="37">
        <v>20</v>
      </c>
      <c r="P23" s="37">
        <f t="shared" si="2"/>
        <v>10</v>
      </c>
      <c r="Q23" s="37">
        <f t="shared" si="3"/>
        <v>1.1428571428571428</v>
      </c>
      <c r="R23" s="37">
        <v>9</v>
      </c>
      <c r="S23" s="38">
        <f t="shared" si="5"/>
        <v>0.35411673576864505</v>
      </c>
    </row>
    <row r="24" spans="5:19" x14ac:dyDescent="0.15">
      <c r="E24" s="37">
        <v>390</v>
      </c>
      <c r="F24" s="37">
        <v>400</v>
      </c>
      <c r="G24" s="37">
        <v>20</v>
      </c>
      <c r="H24" s="37">
        <f t="shared" si="0"/>
        <v>10</v>
      </c>
      <c r="I24" s="37">
        <f t="shared" si="1"/>
        <v>1.0256410256410255</v>
      </c>
      <c r="J24" s="37">
        <v>9</v>
      </c>
      <c r="K24" s="38">
        <f t="shared" si="4"/>
        <v>0.5859337757734443</v>
      </c>
      <c r="M24" s="37">
        <v>350</v>
      </c>
      <c r="N24" s="37">
        <v>400</v>
      </c>
      <c r="O24" s="37">
        <v>20</v>
      </c>
      <c r="P24" s="37">
        <f t="shared" si="2"/>
        <v>10</v>
      </c>
      <c r="Q24" s="37">
        <f t="shared" si="3"/>
        <v>1.1428571428571428</v>
      </c>
      <c r="R24" s="37">
        <v>10</v>
      </c>
      <c r="S24" s="38">
        <f t="shared" si="5"/>
        <v>0.33049836106502356</v>
      </c>
    </row>
    <row r="25" spans="5:19" x14ac:dyDescent="0.15">
      <c r="E25" s="37">
        <v>391</v>
      </c>
      <c r="F25" s="37">
        <v>400</v>
      </c>
      <c r="G25" s="37">
        <v>20</v>
      </c>
      <c r="H25" s="37">
        <f t="shared" si="0"/>
        <v>10</v>
      </c>
      <c r="I25" s="37">
        <f t="shared" si="1"/>
        <v>1.0230179028132993</v>
      </c>
      <c r="J25" s="37">
        <v>10</v>
      </c>
      <c r="K25" s="38">
        <f t="shared" si="4"/>
        <v>0.55704693898139557</v>
      </c>
      <c r="M25" s="37">
        <v>350</v>
      </c>
      <c r="N25" s="37">
        <v>400</v>
      </c>
      <c r="O25" s="37">
        <v>20</v>
      </c>
      <c r="P25" s="37">
        <f t="shared" si="2"/>
        <v>10</v>
      </c>
      <c r="Q25" s="37">
        <f t="shared" si="3"/>
        <v>1.1428571428571428</v>
      </c>
      <c r="R25" s="37">
        <v>11</v>
      </c>
      <c r="S25" s="38">
        <f t="shared" si="5"/>
        <v>0.31080462980196433</v>
      </c>
    </row>
    <row r="26" spans="5:19" x14ac:dyDescent="0.15">
      <c r="E26" s="37">
        <v>392</v>
      </c>
      <c r="F26" s="37">
        <v>400</v>
      </c>
      <c r="G26" s="37">
        <v>20</v>
      </c>
      <c r="H26" s="37">
        <f t="shared" si="0"/>
        <v>10</v>
      </c>
      <c r="I26" s="37">
        <f t="shared" si="1"/>
        <v>1.0204081632653061</v>
      </c>
      <c r="J26" s="37">
        <v>11</v>
      </c>
      <c r="K26" s="38">
        <f t="shared" si="4"/>
        <v>0.5364169869655202</v>
      </c>
      <c r="M26" s="37">
        <v>350</v>
      </c>
      <c r="N26" s="37">
        <v>400</v>
      </c>
      <c r="O26" s="37">
        <v>20</v>
      </c>
      <c r="P26" s="37">
        <f t="shared" si="2"/>
        <v>10</v>
      </c>
      <c r="Q26" s="37">
        <f t="shared" si="3"/>
        <v>1.1428571428571428</v>
      </c>
      <c r="R26" s="37">
        <v>12</v>
      </c>
      <c r="S26" s="38">
        <f t="shared" si="5"/>
        <v>0.29408717843272003</v>
      </c>
    </row>
    <row r="27" spans="5:19" x14ac:dyDescent="0.15">
      <c r="E27" s="37">
        <v>393</v>
      </c>
      <c r="F27" s="37">
        <v>400</v>
      </c>
      <c r="G27" s="37">
        <v>20</v>
      </c>
      <c r="H27" s="37">
        <f t="shared" si="0"/>
        <v>10</v>
      </c>
      <c r="I27" s="37">
        <f t="shared" si="1"/>
        <v>1.0178117048346056</v>
      </c>
      <c r="J27" s="37">
        <v>12</v>
      </c>
      <c r="K27" s="38">
        <f t="shared" si="4"/>
        <v>0.5231270186540925</v>
      </c>
      <c r="M27" s="37">
        <v>350</v>
      </c>
      <c r="N27" s="37">
        <v>400</v>
      </c>
      <c r="O27" s="37">
        <v>20</v>
      </c>
      <c r="P27" s="37">
        <f t="shared" si="2"/>
        <v>10</v>
      </c>
      <c r="Q27" s="37">
        <f t="shared" si="3"/>
        <v>1.1428571428571428</v>
      </c>
      <c r="R27" s="37">
        <v>13</v>
      </c>
      <c r="S27" s="38">
        <f t="shared" si="5"/>
        <v>0.27968485716854352</v>
      </c>
    </row>
    <row r="28" spans="5:19" x14ac:dyDescent="0.15">
      <c r="E28" s="37">
        <v>394</v>
      </c>
      <c r="F28" s="37">
        <v>400</v>
      </c>
      <c r="G28" s="37">
        <v>20</v>
      </c>
      <c r="H28" s="37">
        <f t="shared" si="0"/>
        <v>10</v>
      </c>
      <c r="I28" s="37">
        <f t="shared" si="1"/>
        <v>1.015228426395939</v>
      </c>
      <c r="J28" s="37">
        <v>13</v>
      </c>
      <c r="K28" s="38">
        <f t="shared" si="4"/>
        <v>0.51715051945805335</v>
      </c>
      <c r="M28" s="37">
        <v>350</v>
      </c>
      <c r="N28" s="37">
        <v>400</v>
      </c>
      <c r="O28" s="37">
        <v>20</v>
      </c>
      <c r="P28" s="37">
        <f t="shared" si="2"/>
        <v>10</v>
      </c>
      <c r="Q28" s="37">
        <f t="shared" si="3"/>
        <v>1.1428571428571428</v>
      </c>
      <c r="R28" s="37">
        <v>14</v>
      </c>
      <c r="S28" s="38">
        <f t="shared" si="5"/>
        <v>0.26712200708041012</v>
      </c>
    </row>
    <row r="29" spans="5:19" x14ac:dyDescent="0.15">
      <c r="E29" s="37">
        <v>395</v>
      </c>
      <c r="F29" s="37">
        <v>400</v>
      </c>
      <c r="G29" s="37">
        <v>20</v>
      </c>
      <c r="H29" s="37">
        <f t="shared" si="0"/>
        <v>10</v>
      </c>
      <c r="I29" s="37">
        <f t="shared" si="1"/>
        <v>1.0126582278481013</v>
      </c>
      <c r="J29" s="37">
        <v>14</v>
      </c>
      <c r="K29" s="38">
        <f t="shared" si="4"/>
        <v>0.51953550598078868</v>
      </c>
      <c r="M29" s="37">
        <v>350</v>
      </c>
      <c r="N29" s="37">
        <v>400</v>
      </c>
      <c r="O29" s="37">
        <v>20</v>
      </c>
      <c r="P29" s="37">
        <f t="shared" si="2"/>
        <v>10</v>
      </c>
      <c r="Q29" s="37">
        <f t="shared" si="3"/>
        <v>1.1428571428571428</v>
      </c>
      <c r="R29" s="37">
        <v>15</v>
      </c>
      <c r="S29" s="38">
        <f t="shared" si="5"/>
        <v>0.25604723233260146</v>
      </c>
    </row>
    <row r="30" spans="5:19" x14ac:dyDescent="0.15">
      <c r="E30" s="37">
        <v>396</v>
      </c>
      <c r="F30" s="37">
        <v>400</v>
      </c>
      <c r="G30" s="37">
        <v>20</v>
      </c>
      <c r="H30" s="37">
        <f t="shared" si="0"/>
        <v>10</v>
      </c>
      <c r="I30" s="37">
        <f t="shared" si="1"/>
        <v>1.0101010101010102</v>
      </c>
      <c r="J30" s="37">
        <v>15</v>
      </c>
      <c r="K30" s="38">
        <f t="shared" si="4"/>
        <v>0.53313644816482708</v>
      </c>
      <c r="M30" s="37">
        <v>350</v>
      </c>
      <c r="N30" s="37">
        <v>400</v>
      </c>
      <c r="O30" s="37">
        <v>20</v>
      </c>
      <c r="P30" s="37">
        <f t="shared" si="2"/>
        <v>10</v>
      </c>
      <c r="Q30" s="37">
        <f t="shared" si="3"/>
        <v>1.1428571428571428</v>
      </c>
      <c r="R30" s="37">
        <v>16</v>
      </c>
      <c r="S30" s="38">
        <f t="shared" si="5"/>
        <v>0.24619500231862279</v>
      </c>
    </row>
    <row r="31" spans="5:19" x14ac:dyDescent="0.15">
      <c r="E31" s="37">
        <v>397</v>
      </c>
      <c r="F31" s="37">
        <v>400</v>
      </c>
      <c r="G31" s="37">
        <v>20</v>
      </c>
      <c r="H31" s="37">
        <f t="shared" si="0"/>
        <v>10</v>
      </c>
      <c r="I31" s="37">
        <f t="shared" si="1"/>
        <v>1.0075566750629723</v>
      </c>
      <c r="J31" s="37">
        <v>16</v>
      </c>
      <c r="K31" s="38">
        <f t="shared" si="4"/>
        <v>0.56485101636240487</v>
      </c>
      <c r="M31" s="37">
        <v>350</v>
      </c>
      <c r="N31" s="37">
        <v>400</v>
      </c>
      <c r="O31" s="37">
        <v>20</v>
      </c>
      <c r="P31" s="37">
        <f t="shared" si="2"/>
        <v>10</v>
      </c>
      <c r="Q31" s="37">
        <f t="shared" si="3"/>
        <v>1.1428571428571428</v>
      </c>
      <c r="R31" s="37">
        <v>17</v>
      </c>
      <c r="S31" s="38">
        <f t="shared" si="5"/>
        <v>0.23736071615421339</v>
      </c>
    </row>
    <row r="32" spans="5:19" x14ac:dyDescent="0.15">
      <c r="E32" s="37">
        <v>398</v>
      </c>
      <c r="F32" s="37">
        <v>400</v>
      </c>
      <c r="G32" s="37">
        <v>20</v>
      </c>
      <c r="H32" s="37">
        <f t="shared" si="0"/>
        <v>10</v>
      </c>
      <c r="I32" s="37">
        <f t="shared" si="1"/>
        <v>1.0050251256281406</v>
      </c>
      <c r="J32" s="37">
        <v>17</v>
      </c>
      <c r="K32" s="38">
        <f t="shared" si="4"/>
        <v>0.63377009892555347</v>
      </c>
      <c r="M32" s="37">
        <v>350</v>
      </c>
      <c r="N32" s="37">
        <v>400</v>
      </c>
      <c r="O32" s="37">
        <v>20</v>
      </c>
      <c r="P32" s="37">
        <f t="shared" si="2"/>
        <v>10</v>
      </c>
      <c r="Q32" s="37">
        <f t="shared" si="3"/>
        <v>1.1428571428571428</v>
      </c>
      <c r="R32" s="37">
        <v>18</v>
      </c>
      <c r="S32" s="38">
        <f t="shared" si="5"/>
        <v>0.22938401589686064</v>
      </c>
    </row>
    <row r="33" spans="5:19" x14ac:dyDescent="0.15">
      <c r="E33" s="37">
        <v>399</v>
      </c>
      <c r="F33" s="37">
        <v>400</v>
      </c>
      <c r="G33" s="37">
        <v>20</v>
      </c>
      <c r="H33" s="37">
        <f t="shared" si="0"/>
        <v>10</v>
      </c>
      <c r="I33" s="37">
        <f t="shared" si="1"/>
        <v>1.0025062656641603</v>
      </c>
      <c r="J33" s="37">
        <v>18</v>
      </c>
      <c r="K33" s="38">
        <f t="shared" si="4"/>
        <v>0.81868689162328123</v>
      </c>
      <c r="M33" s="37">
        <v>350</v>
      </c>
      <c r="N33" s="37">
        <v>400</v>
      </c>
      <c r="O33" s="37">
        <v>20</v>
      </c>
      <c r="P33" s="37">
        <f t="shared" si="2"/>
        <v>10</v>
      </c>
      <c r="Q33" s="37">
        <f t="shared" si="3"/>
        <v>1.1428571428571428</v>
      </c>
      <c r="R33" s="37">
        <v>19</v>
      </c>
      <c r="S33" s="38">
        <f t="shared" si="5"/>
        <v>0.22213732411818971</v>
      </c>
    </row>
    <row r="34" spans="5:19" x14ac:dyDescent="0.15">
      <c r="E34" s="37">
        <f>E33+0.1</f>
        <v>399.1</v>
      </c>
      <c r="F34" s="37">
        <v>400</v>
      </c>
      <c r="G34" s="37">
        <v>20</v>
      </c>
      <c r="H34" s="37">
        <f t="shared" si="0"/>
        <v>10</v>
      </c>
      <c r="I34" s="37">
        <f t="shared" si="1"/>
        <v>1.0022550739163116</v>
      </c>
      <c r="J34" s="37">
        <v>19</v>
      </c>
      <c r="K34" s="38">
        <f t="shared" si="4"/>
        <v>0.81602220784865986</v>
      </c>
      <c r="M34" s="37">
        <v>350</v>
      </c>
      <c r="N34" s="37">
        <v>400</v>
      </c>
      <c r="O34" s="37">
        <v>20</v>
      </c>
      <c r="P34" s="37">
        <f t="shared" si="2"/>
        <v>10</v>
      </c>
      <c r="Q34" s="37">
        <f t="shared" si="3"/>
        <v>1.1428571428571428</v>
      </c>
      <c r="R34" s="37">
        <v>20</v>
      </c>
      <c r="S34" s="38">
        <f t="shared" si="5"/>
        <v>0.21551778735563029</v>
      </c>
    </row>
    <row r="35" spans="5:19" x14ac:dyDescent="0.15">
      <c r="E35" s="37">
        <f t="shared" ref="E35:E42" si="6">E34+0.1</f>
        <v>399.20000000000005</v>
      </c>
      <c r="F35" s="37">
        <v>400</v>
      </c>
      <c r="G35" s="37">
        <v>20</v>
      </c>
      <c r="H35" s="37">
        <f t="shared" si="0"/>
        <v>10</v>
      </c>
      <c r="I35" s="37">
        <f t="shared" si="1"/>
        <v>1.002004008016032</v>
      </c>
      <c r="J35" s="37">
        <v>20</v>
      </c>
      <c r="K35" s="38">
        <f t="shared" si="4"/>
        <v>0.82032056272268739</v>
      </c>
      <c r="M35" s="37">
        <v>350</v>
      </c>
      <c r="N35" s="37">
        <v>400</v>
      </c>
      <c r="O35" s="37">
        <v>20</v>
      </c>
      <c r="P35" s="37">
        <f t="shared" si="2"/>
        <v>10</v>
      </c>
      <c r="Q35" s="37">
        <f t="shared" si="3"/>
        <v>1.1428571428571428</v>
      </c>
      <c r="R35" s="37">
        <v>21</v>
      </c>
      <c r="S35" s="38">
        <f t="shared" si="5"/>
        <v>0.20944149717938121</v>
      </c>
    </row>
    <row r="36" spans="5:19" x14ac:dyDescent="0.15">
      <c r="E36" s="37">
        <f t="shared" si="6"/>
        <v>399.30000000000007</v>
      </c>
      <c r="F36" s="37">
        <v>400</v>
      </c>
      <c r="G36" s="37">
        <v>20</v>
      </c>
      <c r="H36" s="37">
        <f t="shared" si="0"/>
        <v>10</v>
      </c>
      <c r="I36" s="37">
        <f t="shared" si="1"/>
        <v>1.0017530678687703</v>
      </c>
      <c r="J36" s="37">
        <v>21</v>
      </c>
      <c r="K36" s="38">
        <f t="shared" si="4"/>
        <v>0.83284484862331953</v>
      </c>
      <c r="M36" s="37">
        <v>350</v>
      </c>
      <c r="N36" s="37">
        <v>400</v>
      </c>
      <c r="O36" s="37">
        <v>20</v>
      </c>
      <c r="P36" s="37">
        <f t="shared" si="2"/>
        <v>10</v>
      </c>
      <c r="Q36" s="37">
        <f t="shared" si="3"/>
        <v>1.1428571428571428</v>
      </c>
      <c r="R36" s="37">
        <v>22</v>
      </c>
      <c r="S36" s="38">
        <f t="shared" si="5"/>
        <v>0.20383926917648182</v>
      </c>
    </row>
    <row r="37" spans="5:19" x14ac:dyDescent="0.15">
      <c r="E37" s="37">
        <f t="shared" si="6"/>
        <v>399.40000000000009</v>
      </c>
      <c r="F37" s="37">
        <v>400</v>
      </c>
      <c r="G37" s="37">
        <v>20</v>
      </c>
      <c r="H37" s="37">
        <f t="shared" si="0"/>
        <v>10</v>
      </c>
      <c r="I37" s="37">
        <f t="shared" si="1"/>
        <v>1.0015022533800699</v>
      </c>
      <c r="J37" s="37">
        <v>22</v>
      </c>
      <c r="K37" s="38">
        <f t="shared" si="4"/>
        <v>0.85584713539355051</v>
      </c>
      <c r="M37" s="37">
        <v>350</v>
      </c>
      <c r="N37" s="37">
        <v>400</v>
      </c>
      <c r="O37" s="37">
        <v>20</v>
      </c>
      <c r="P37" s="37">
        <f t="shared" si="2"/>
        <v>10</v>
      </c>
      <c r="Q37" s="37">
        <f t="shared" si="3"/>
        <v>1.1428571428571428</v>
      </c>
      <c r="R37" s="37">
        <v>23</v>
      </c>
      <c r="S37" s="38">
        <f t="shared" si="5"/>
        <v>0.19865350931001602</v>
      </c>
    </row>
    <row r="38" spans="5:19" x14ac:dyDescent="0.15">
      <c r="E38" s="37">
        <f t="shared" si="6"/>
        <v>399.50000000000011</v>
      </c>
      <c r="F38" s="37">
        <v>400</v>
      </c>
      <c r="G38" s="37">
        <v>20</v>
      </c>
      <c r="H38" s="37">
        <f t="shared" si="0"/>
        <v>10</v>
      </c>
      <c r="I38" s="37">
        <f t="shared" si="1"/>
        <v>1.0012515644555693</v>
      </c>
      <c r="J38" s="37">
        <v>23</v>
      </c>
      <c r="K38" s="38">
        <f t="shared" si="4"/>
        <v>0.89336209155428103</v>
      </c>
      <c r="M38" s="37">
        <v>350</v>
      </c>
      <c r="N38" s="37">
        <v>400</v>
      </c>
      <c r="O38" s="37">
        <v>20</v>
      </c>
      <c r="P38" s="37">
        <f t="shared" si="2"/>
        <v>10</v>
      </c>
      <c r="Q38" s="37">
        <f t="shared" si="3"/>
        <v>1.1428571428571428</v>
      </c>
      <c r="R38" s="37">
        <v>24</v>
      </c>
      <c r="S38" s="38">
        <f t="shared" si="5"/>
        <v>0.19383585314116417</v>
      </c>
    </row>
    <row r="39" spans="5:19" x14ac:dyDescent="0.15">
      <c r="E39" s="37">
        <f t="shared" si="6"/>
        <v>399.60000000000014</v>
      </c>
      <c r="F39" s="37">
        <v>400</v>
      </c>
      <c r="G39" s="37">
        <v>20</v>
      </c>
      <c r="H39" s="37">
        <f t="shared" si="0"/>
        <v>10</v>
      </c>
      <c r="I39" s="37">
        <f t="shared" si="1"/>
        <v>1.0010010010010006</v>
      </c>
      <c r="J39" s="37">
        <v>24</v>
      </c>
      <c r="K39" s="38">
        <f t="shared" si="4"/>
        <v>0.95306718773915644</v>
      </c>
      <c r="M39" s="37">
        <v>350</v>
      </c>
      <c r="N39" s="37">
        <v>400</v>
      </c>
      <c r="O39" s="37">
        <v>20</v>
      </c>
      <c r="P39" s="37">
        <f t="shared" si="2"/>
        <v>10</v>
      </c>
      <c r="Q39" s="37">
        <f t="shared" si="3"/>
        <v>1.1428571428571428</v>
      </c>
      <c r="R39" s="37">
        <v>25</v>
      </c>
      <c r="S39" s="38">
        <f t="shared" si="5"/>
        <v>0.18934536346757125</v>
      </c>
    </row>
    <row r="40" spans="5:19" x14ac:dyDescent="0.15">
      <c r="E40" s="37">
        <f t="shared" si="6"/>
        <v>399.70000000000016</v>
      </c>
      <c r="F40" s="37">
        <v>400</v>
      </c>
      <c r="G40" s="37">
        <v>20</v>
      </c>
      <c r="H40" s="37">
        <f t="shared" si="0"/>
        <v>10</v>
      </c>
      <c r="I40" s="37">
        <f t="shared" si="1"/>
        <v>1.0007505629221913</v>
      </c>
      <c r="J40" s="37">
        <v>25</v>
      </c>
      <c r="K40" s="38">
        <f t="shared" si="4"/>
        <v>1.0513832979571915</v>
      </c>
      <c r="M40" s="37">
        <v>350</v>
      </c>
      <c r="N40" s="37">
        <v>400</v>
      </c>
      <c r="O40" s="37">
        <v>20</v>
      </c>
      <c r="P40" s="37">
        <f t="shared" si="2"/>
        <v>10</v>
      </c>
      <c r="Q40" s="37">
        <f t="shared" si="3"/>
        <v>1.1428571428571428</v>
      </c>
      <c r="R40" s="37">
        <v>26</v>
      </c>
      <c r="S40" s="38">
        <f t="shared" si="5"/>
        <v>0.18514713750056963</v>
      </c>
    </row>
    <row r="41" spans="5:19" x14ac:dyDescent="0.15">
      <c r="E41" s="37">
        <f t="shared" si="6"/>
        <v>399.80000000000018</v>
      </c>
      <c r="F41" s="37">
        <v>400</v>
      </c>
      <c r="G41" s="37">
        <v>20</v>
      </c>
      <c r="H41" s="37">
        <f t="shared" si="0"/>
        <v>10</v>
      </c>
      <c r="I41" s="37">
        <f t="shared" si="1"/>
        <v>1.0005002501250622</v>
      </c>
      <c r="J41" s="37">
        <v>26</v>
      </c>
      <c r="K41" s="38">
        <f t="shared" si="4"/>
        <v>1.2315046294638872</v>
      </c>
      <c r="M41" s="37">
        <v>350</v>
      </c>
      <c r="N41" s="37">
        <v>400</v>
      </c>
      <c r="O41" s="37">
        <v>20</v>
      </c>
      <c r="P41" s="37">
        <f t="shared" si="2"/>
        <v>10</v>
      </c>
      <c r="Q41" s="37">
        <f t="shared" si="3"/>
        <v>1.1428571428571428</v>
      </c>
      <c r="R41" s="37">
        <v>27</v>
      </c>
      <c r="S41" s="38">
        <f t="shared" si="5"/>
        <v>0.18121121851472702</v>
      </c>
    </row>
    <row r="42" spans="5:19" x14ac:dyDescent="0.15">
      <c r="E42" s="37">
        <f t="shared" si="6"/>
        <v>399.9000000000002</v>
      </c>
      <c r="F42" s="37">
        <v>400</v>
      </c>
      <c r="G42" s="37">
        <v>20</v>
      </c>
      <c r="H42" s="37">
        <f t="shared" si="0"/>
        <v>10</v>
      </c>
      <c r="I42" s="37">
        <f t="shared" si="1"/>
        <v>1.0002500625156283</v>
      </c>
      <c r="J42" s="37">
        <v>27</v>
      </c>
      <c r="K42" s="38">
        <f t="shared" si="4"/>
        <v>1.6671754503031417</v>
      </c>
      <c r="M42" s="37">
        <v>350</v>
      </c>
      <c r="N42" s="37">
        <v>400</v>
      </c>
      <c r="O42" s="37">
        <v>20</v>
      </c>
      <c r="P42" s="37">
        <f t="shared" si="2"/>
        <v>10</v>
      </c>
      <c r="Q42" s="37">
        <f t="shared" si="3"/>
        <v>1.1428571428571428</v>
      </c>
      <c r="R42" s="37">
        <v>28</v>
      </c>
      <c r="S42" s="38">
        <f t="shared" si="5"/>
        <v>0.17751173670117326</v>
      </c>
    </row>
    <row r="43" spans="5:19" x14ac:dyDescent="0.15">
      <c r="E43" s="39">
        <v>399.99999999990001</v>
      </c>
      <c r="F43" s="37">
        <v>400</v>
      </c>
      <c r="G43" s="37">
        <v>20</v>
      </c>
      <c r="H43" s="37">
        <f t="shared" si="0"/>
        <v>10</v>
      </c>
      <c r="I43" s="37">
        <f t="shared" si="1"/>
        <v>1.00000000000025</v>
      </c>
      <c r="J43" s="37">
        <v>6</v>
      </c>
      <c r="K43" s="38">
        <f t="shared" si="4"/>
        <v>235691.7840602744</v>
      </c>
      <c r="M43" s="37">
        <v>350</v>
      </c>
      <c r="N43" s="37">
        <v>400</v>
      </c>
      <c r="O43" s="37">
        <v>20</v>
      </c>
      <c r="P43" s="37">
        <f t="shared" si="2"/>
        <v>10</v>
      </c>
      <c r="Q43" s="37">
        <f t="shared" si="3"/>
        <v>1.1428571428571428</v>
      </c>
      <c r="R43" s="37">
        <v>29</v>
      </c>
      <c r="S43" s="38">
        <f t="shared" si="5"/>
        <v>0.17402622455576966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LLC谐振腔计算 (2)</vt:lpstr>
      <vt:lpstr>LLC谐振腔计算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2017-03-30T02:57:19Z</dcterms:modified>
</cp:coreProperties>
</file>