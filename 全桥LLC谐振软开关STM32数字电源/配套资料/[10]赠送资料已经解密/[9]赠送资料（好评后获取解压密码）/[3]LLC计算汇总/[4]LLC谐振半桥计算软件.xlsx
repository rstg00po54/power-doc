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15" windowHeight="8400"/>
  </bookViews>
  <sheets>
    <sheet name="LLC半桥谐振变换器计算" sheetId="1" r:id="rId1"/>
  </sheets>
  <definedNames>
    <definedName name="_xlnm._FilterDatabase" localSheetId="0" hidden="1">LLC半桥谐振变换器计算!$A$3:$M$3</definedName>
    <definedName name="Z_AF7CE1B4_F5E7_4694_8146_4A9F3F9915CC_.wvu.FilterData" localSheetId="0" hidden="1">LLC半桥谐振变换器计算!$A$3:$M$3</definedName>
  </definedNames>
  <calcPr calcId="124519"/>
</workbook>
</file>

<file path=xl/calcChain.xml><?xml version="1.0" encoding="utf-8"?>
<calcChain xmlns="http://schemas.openxmlformats.org/spreadsheetml/2006/main">
  <c r="C16" i="1"/>
  <c r="C20"/>
  <c r="C27"/>
  <c r="C28"/>
  <c r="C29"/>
  <c r="C33"/>
  <c r="C34"/>
  <c r="C36"/>
  <c r="C38"/>
  <c r="C40"/>
  <c r="C48" s="1"/>
  <c r="D57"/>
  <c r="D58"/>
  <c r="D61"/>
  <c r="D62"/>
  <c r="D63" s="1"/>
  <c r="D65"/>
  <c r="D68"/>
  <c r="B73"/>
  <c r="C74"/>
  <c r="B92" s="1"/>
  <c r="C96" s="1"/>
  <c r="C81"/>
  <c r="B86"/>
  <c r="C88"/>
  <c r="B51"/>
  <c r="C35" s="1"/>
  <c r="C32"/>
  <c r="C39"/>
  <c r="C31" l="1"/>
  <c r="C30"/>
  <c r="C37"/>
  <c r="C46" s="1"/>
  <c r="C43" l="1"/>
  <c r="C45" s="1"/>
  <c r="C47" s="1"/>
  <c r="C42" s="1"/>
  <c r="D50"/>
  <c r="B98"/>
  <c r="B97"/>
  <c r="C15"/>
  <c r="C95" l="1"/>
  <c r="B85" s="1"/>
  <c r="C93" s="1"/>
  <c r="D53"/>
  <c r="D52"/>
  <c r="D67" s="1"/>
  <c r="C76"/>
  <c r="C79"/>
  <c r="D54" l="1"/>
  <c r="D56" s="1"/>
  <c r="B84"/>
  <c r="C94" s="1"/>
  <c r="D99"/>
  <c r="D64" l="1"/>
  <c r="D59"/>
  <c r="D60" s="1"/>
  <c r="D66"/>
  <c r="C80"/>
</calcChain>
</file>

<file path=xl/sharedStrings.xml><?xml version="1.0" encoding="utf-8"?>
<sst xmlns="http://schemas.openxmlformats.org/spreadsheetml/2006/main" count="242" uniqueCount="199">
  <si>
    <t>参数名称</t>
  </si>
  <si>
    <t>输入参数</t>
  </si>
  <si>
    <t>中间过程</t>
  </si>
  <si>
    <t>输出数据</t>
  </si>
  <si>
    <t>单位</t>
  </si>
  <si>
    <t>参数说明</t>
  </si>
  <si>
    <t xml:space="preserve">Vdc_nom </t>
  </si>
  <si>
    <t>Volts</t>
  </si>
  <si>
    <t>额定直流输入电压，</t>
  </si>
  <si>
    <t>Vdc_min</t>
  </si>
  <si>
    <t>最小直流输入电压</t>
  </si>
  <si>
    <t xml:space="preserve">Vdc_max </t>
  </si>
  <si>
    <t>最大直流输入电压</t>
  </si>
  <si>
    <t>Vout_nom</t>
  </si>
  <si>
    <t>主输出的额定输出电压</t>
  </si>
  <si>
    <t>Vout_min</t>
  </si>
  <si>
    <t>主输出的最小输出电压</t>
  </si>
  <si>
    <t>Vout_max</t>
  </si>
  <si>
    <t>主输出的最大输出电压</t>
  </si>
  <si>
    <t>Iout_nom</t>
  </si>
  <si>
    <t>A</t>
  </si>
  <si>
    <t>折算到主输出的额定输出电流</t>
  </si>
  <si>
    <t>Iout_max</t>
  </si>
  <si>
    <t>折算到主输出的最大输出电流</t>
  </si>
  <si>
    <t>IOCP</t>
  </si>
  <si>
    <t>输入过流保护点电流值</t>
  </si>
  <si>
    <t>Fr1</t>
  </si>
  <si>
    <t>Hz</t>
  </si>
  <si>
    <t>第1谐振频率</t>
  </si>
  <si>
    <t>Fs_max_manul</t>
  </si>
  <si>
    <t>最大开关频率人工输入值</t>
  </si>
  <si>
    <t>Fs_max_cal</t>
  </si>
  <si>
    <t>最大开关频率计算值（最大输入电压、最小输出电压，空载时）</t>
  </si>
  <si>
    <t>Fs_max_act</t>
  </si>
  <si>
    <t>最大开关频率实际取值</t>
  </si>
  <si>
    <t>Rds_on</t>
  </si>
  <si>
    <t>Ω</t>
  </si>
  <si>
    <t>MOSFET导通电阻</t>
  </si>
  <si>
    <t>Coss</t>
  </si>
  <si>
    <t>nF</t>
  </si>
  <si>
    <t>MOSFET输出电容</t>
  </si>
  <si>
    <t>Cstray</t>
  </si>
  <si>
    <t>桥臂中点的寄生电容</t>
  </si>
  <si>
    <t>Czvs</t>
  </si>
  <si>
    <t>ZVS限制条件电容</t>
  </si>
  <si>
    <t>VDF</t>
  </si>
  <si>
    <t>输出整流二极管导通压降</t>
  </si>
  <si>
    <t>T_dead</t>
  </si>
  <si>
    <t>nS</t>
  </si>
  <si>
    <t>开关管死区时间</t>
  </si>
  <si>
    <t>η</t>
  </si>
  <si>
    <t>LLC变换器整体效率</t>
  </si>
  <si>
    <t>Z</t>
  </si>
  <si>
    <t>损耗分配因子</t>
  </si>
  <si>
    <t>π</t>
  </si>
  <si>
    <t>圆周率</t>
  </si>
  <si>
    <t>Pout_tol_nom</t>
  </si>
  <si>
    <t>W</t>
  </si>
  <si>
    <t>总输出功率额定值</t>
  </si>
  <si>
    <t>Pout_tol_max</t>
  </si>
  <si>
    <t>总输出功率最大值</t>
  </si>
  <si>
    <t>n_com</t>
  </si>
  <si>
    <t>变压器匝比：Np/Ns,计算值</t>
  </si>
  <si>
    <t>G_max</t>
  </si>
  <si>
    <t>最大电压增益，用后面的实际匝比计算。</t>
  </si>
  <si>
    <t>G_min</t>
  </si>
  <si>
    <t>最小电压增益,用后面的设计匝比计算。(G＜1，必有Fs＞Fr1,因此最小开关频率不会出现在最小输出电压时，即使这时的Q值更大)</t>
  </si>
  <si>
    <r>
      <t>Gol_</t>
    </r>
    <r>
      <rPr>
        <i/>
        <vertAlign val="subscript"/>
        <sz val="12"/>
        <color indexed="14"/>
        <rFont val="宋体"/>
        <family val="3"/>
        <charset val="134"/>
      </rPr>
      <t>∞</t>
    </r>
  </si>
  <si>
    <t>空载时开关频率趋于无穷大时的电压增益</t>
  </si>
  <si>
    <t>Fs_n .max</t>
  </si>
  <si>
    <t>归一化最大开关频率：Fs_max/Fr1</t>
  </si>
  <si>
    <r>
      <t>R</t>
    </r>
    <r>
      <rPr>
        <i/>
        <vertAlign val="subscript"/>
        <sz val="12"/>
        <color indexed="14"/>
        <rFont val="Times New Roman"/>
        <family val="1"/>
      </rPr>
      <t>L_min</t>
    </r>
  </si>
  <si>
    <t>最小输出电压时折算到主输出的负载电阻</t>
  </si>
  <si>
    <t>Rac_min</t>
  </si>
  <si>
    <t>最小输出电压时反射电阻</t>
  </si>
  <si>
    <r>
      <t>R</t>
    </r>
    <r>
      <rPr>
        <i/>
        <vertAlign val="subscript"/>
        <sz val="12"/>
        <color indexed="14"/>
        <rFont val="Times New Roman"/>
        <family val="1"/>
      </rPr>
      <t>L_max</t>
    </r>
  </si>
  <si>
    <t>最大输出电压时折算到主输出的负载电阻</t>
  </si>
  <si>
    <t>Rac_max</t>
  </si>
  <si>
    <t>最大输出电压时反射电阻</t>
  </si>
  <si>
    <r>
      <t>R</t>
    </r>
    <r>
      <rPr>
        <i/>
        <vertAlign val="subscript"/>
        <sz val="12"/>
        <color indexed="14"/>
        <rFont val="Times New Roman"/>
        <family val="1"/>
      </rPr>
      <t>L_nom</t>
    </r>
  </si>
  <si>
    <t>额定输出电压时折算到主输出的负载电阻</t>
  </si>
  <si>
    <t>Rac_nom</t>
  </si>
  <si>
    <t>额定输出电压时反射电阻</t>
  </si>
  <si>
    <t>λ</t>
  </si>
  <si>
    <t xml:space="preserve">电感比值：Lr/Lm（0.167≤λ≤0.4） </t>
  </si>
  <si>
    <t>K(L)</t>
  </si>
  <si>
    <t>λ的倒数</t>
  </si>
  <si>
    <r>
      <t>Z</t>
    </r>
    <r>
      <rPr>
        <i/>
        <vertAlign val="subscript"/>
        <sz val="12"/>
        <color indexed="14"/>
        <rFont val="Times New Roman"/>
        <family val="1"/>
      </rPr>
      <t>0</t>
    </r>
  </si>
  <si>
    <t>特征阻抗</t>
  </si>
  <si>
    <t>Qmax</t>
  </si>
  <si>
    <t>最大输出功率时的Q值</t>
  </si>
  <si>
    <r>
      <t>K</t>
    </r>
    <r>
      <rPr>
        <i/>
        <vertAlign val="subscript"/>
        <sz val="12"/>
        <rFont val="Times New Roman"/>
        <family val="1"/>
      </rPr>
      <t>Qzvs</t>
    </r>
  </si>
  <si>
    <r>
      <t>Qzvs1=K</t>
    </r>
    <r>
      <rPr>
        <vertAlign val="subscript"/>
        <sz val="11"/>
        <rFont val="隶书"/>
        <family val="3"/>
        <charset val="134"/>
      </rPr>
      <t>Qzvs</t>
    </r>
    <r>
      <rPr>
        <sz val="11"/>
        <rFont val="隶书"/>
        <family val="3"/>
        <charset val="134"/>
      </rPr>
      <t>*Qmax</t>
    </r>
  </si>
  <si>
    <t>Qzvs1</t>
  </si>
  <si>
    <t>最小输入电压、最大输出功率时保证ZVS的Q限制值</t>
  </si>
  <si>
    <t>Qzvs2</t>
  </si>
  <si>
    <t>最大输入电压、空载时保证ZVS的Q限制值</t>
  </si>
  <si>
    <t>Qzvs</t>
  </si>
  <si>
    <t>取Qzvs1与Qzvs2中小者</t>
  </si>
  <si>
    <t>Fr2</t>
  </si>
  <si>
    <t>第2谐振频率</t>
  </si>
  <si>
    <t>Fs_min</t>
  </si>
  <si>
    <t>最小开关频率</t>
  </si>
  <si>
    <r>
      <t>n</t>
    </r>
    <r>
      <rPr>
        <i/>
        <vertAlign val="subscript"/>
        <sz val="12"/>
        <color indexed="12"/>
        <rFont val="Times New Roman"/>
        <family val="1"/>
      </rPr>
      <t>real</t>
    </r>
  </si>
  <si>
    <t>变压器匝比：Np/Ns的实际值，用于计算上面的增益、Rac等参数</t>
  </si>
  <si>
    <t>Cr</t>
  </si>
  <si>
    <t>LLC谐振电容</t>
  </si>
  <si>
    <t>Lr</t>
  </si>
  <si>
    <t>μH</t>
  </si>
  <si>
    <t>LLC谐振电感</t>
  </si>
  <si>
    <t>Lm</t>
  </si>
  <si>
    <t>变压器励磁电感</t>
  </si>
  <si>
    <r>
      <t>I</t>
    </r>
    <r>
      <rPr>
        <i/>
        <vertAlign val="subscript"/>
        <sz val="12"/>
        <color indexed="17"/>
        <rFont val="Times New Roman"/>
        <family val="1"/>
      </rPr>
      <t>rms_max</t>
    </r>
  </si>
  <si>
    <t>在Fsw=Fr1（额定输出电压）最大输出电流时的输入电流有效值</t>
  </si>
  <si>
    <r>
      <t>V</t>
    </r>
    <r>
      <rPr>
        <i/>
        <vertAlign val="subscript"/>
        <sz val="12"/>
        <color indexed="17"/>
        <rFont val="Times New Roman"/>
        <family val="1"/>
      </rPr>
      <t>mos_max</t>
    </r>
  </si>
  <si>
    <t>V</t>
  </si>
  <si>
    <t>MOSFET漏源电压最大值</t>
  </si>
  <si>
    <r>
      <t>I</t>
    </r>
    <r>
      <rPr>
        <i/>
        <vertAlign val="subscript"/>
        <sz val="12"/>
        <color indexed="17"/>
        <rFont val="Times New Roman"/>
        <family val="1"/>
      </rPr>
      <t>max_mos</t>
    </r>
  </si>
  <si>
    <r>
      <t>MOSFET电流最大值（</t>
    </r>
    <r>
      <rPr>
        <i/>
        <sz val="11"/>
        <rFont val="隶书"/>
        <family val="3"/>
        <charset val="134"/>
      </rPr>
      <t>=IOCP</t>
    </r>
    <r>
      <rPr>
        <sz val="11"/>
        <rFont val="隶书"/>
        <family val="3"/>
        <charset val="134"/>
      </rPr>
      <t>）</t>
    </r>
  </si>
  <si>
    <r>
      <t>I</t>
    </r>
    <r>
      <rPr>
        <i/>
        <vertAlign val="subscript"/>
        <sz val="12"/>
        <color indexed="17"/>
        <rFont val="Times New Roman"/>
        <family val="1"/>
      </rPr>
      <t>rms_mos_max</t>
    </r>
  </si>
  <si>
    <t>正常工作时的MOSFET有效值最大值</t>
  </si>
  <si>
    <r>
      <t>P</t>
    </r>
    <r>
      <rPr>
        <i/>
        <vertAlign val="subscript"/>
        <sz val="12"/>
        <color indexed="17"/>
        <rFont val="Times New Roman"/>
        <family val="1"/>
      </rPr>
      <t>mos_conduct_loss</t>
    </r>
  </si>
  <si>
    <t>MOSFET导通损耗</t>
  </si>
  <si>
    <r>
      <t>V</t>
    </r>
    <r>
      <rPr>
        <i/>
        <vertAlign val="subscript"/>
        <sz val="12"/>
        <color indexed="17"/>
        <rFont val="Times New Roman"/>
        <family val="1"/>
      </rPr>
      <t>D_MAX</t>
    </r>
  </si>
  <si>
    <t>输出整流二极管最大反向电压</t>
  </si>
  <si>
    <r>
      <t>I</t>
    </r>
    <r>
      <rPr>
        <i/>
        <vertAlign val="subscript"/>
        <sz val="12"/>
        <color indexed="17"/>
        <rFont val="Times New Roman"/>
        <family val="1"/>
      </rPr>
      <t>D_AVG_MAX</t>
    </r>
  </si>
  <si>
    <t>输出整流二极管最大平均电流</t>
  </si>
  <si>
    <r>
      <t>P</t>
    </r>
    <r>
      <rPr>
        <i/>
        <vertAlign val="subscript"/>
        <sz val="12"/>
        <color indexed="17"/>
        <rFont val="Times New Roman"/>
        <family val="1"/>
      </rPr>
      <t>D_conduct_loss</t>
    </r>
  </si>
  <si>
    <t>输出二极管导通损耗</t>
  </si>
  <si>
    <r>
      <t>I</t>
    </r>
    <r>
      <rPr>
        <i/>
        <vertAlign val="subscript"/>
        <sz val="12"/>
        <color indexed="17"/>
        <rFont val="Times New Roman"/>
        <family val="1"/>
      </rPr>
      <t>TP_rms</t>
    </r>
  </si>
  <si>
    <t>变压器原边电流有效值</t>
  </si>
  <si>
    <r>
      <t>I</t>
    </r>
    <r>
      <rPr>
        <i/>
        <vertAlign val="subscript"/>
        <sz val="12"/>
        <color indexed="17"/>
        <rFont val="Times New Roman"/>
        <family val="1"/>
      </rPr>
      <t>TS_rms</t>
    </r>
  </si>
  <si>
    <t>变压器副边电流有效值（两个线圈中的一个的电流）</t>
  </si>
  <si>
    <r>
      <t>I</t>
    </r>
    <r>
      <rPr>
        <i/>
        <vertAlign val="subscript"/>
        <sz val="12"/>
        <color indexed="17"/>
        <rFont val="Times New Roman"/>
        <family val="1"/>
      </rPr>
      <t>cr_rms</t>
    </r>
  </si>
  <si>
    <t>谐振电容电流有效值</t>
  </si>
  <si>
    <r>
      <t>V</t>
    </r>
    <r>
      <rPr>
        <i/>
        <vertAlign val="subscript"/>
        <sz val="12"/>
        <color indexed="17"/>
        <rFont val="Times New Roman"/>
        <family val="1"/>
      </rPr>
      <t>cr_rms</t>
    </r>
  </si>
  <si>
    <t>谐振电容最大电压</t>
  </si>
  <si>
    <r>
      <t>I</t>
    </r>
    <r>
      <rPr>
        <i/>
        <vertAlign val="subscript"/>
        <sz val="12"/>
        <color indexed="17"/>
        <rFont val="Times New Roman"/>
        <family val="1"/>
      </rPr>
      <t>CO_rms</t>
    </r>
  </si>
  <si>
    <t>输出电容电流有效值（Fs=Fr）</t>
  </si>
  <si>
    <t>磁芯型号</t>
  </si>
  <si>
    <t>东磁EE55B</t>
  </si>
  <si>
    <r>
      <t>n</t>
    </r>
    <r>
      <rPr>
        <i/>
        <vertAlign val="subscript"/>
        <sz val="12"/>
        <rFont val="Times New Roman"/>
        <family val="1"/>
      </rPr>
      <t>core</t>
    </r>
  </si>
  <si>
    <t>付</t>
  </si>
  <si>
    <t>磁芯数量</t>
  </si>
  <si>
    <t>Ae</t>
  </si>
  <si>
    <r>
      <t>mm</t>
    </r>
    <r>
      <rPr>
        <i/>
        <vertAlign val="superscript"/>
        <sz val="12"/>
        <rFont val="宋体"/>
        <family val="3"/>
        <charset val="134"/>
      </rPr>
      <t>2</t>
    </r>
  </si>
  <si>
    <t>磁芯有效截面积</t>
  </si>
  <si>
    <r>
      <t>变压器匝比：Np/Ns的计算值，用于方便和下面的n</t>
    </r>
    <r>
      <rPr>
        <vertAlign val="subscript"/>
        <sz val="11"/>
        <rFont val="隶书"/>
        <family val="3"/>
        <charset val="134"/>
      </rPr>
      <t>real</t>
    </r>
    <r>
      <rPr>
        <sz val="11"/>
        <rFont val="隶书"/>
        <family val="3"/>
        <charset val="134"/>
      </rPr>
      <t>比较。</t>
    </r>
  </si>
  <si>
    <r>
      <t>n</t>
    </r>
    <r>
      <rPr>
        <i/>
        <vertAlign val="subscript"/>
        <sz val="12"/>
        <rFont val="Times New Roman"/>
        <family val="1"/>
      </rPr>
      <t>real</t>
    </r>
  </si>
  <si>
    <t>变压器实际变比</t>
  </si>
  <si>
    <t>ΔBw_set</t>
  </si>
  <si>
    <t>Tesla</t>
  </si>
  <si>
    <t>最大磁通变化量预设值</t>
  </si>
  <si>
    <t>Np_cal</t>
  </si>
  <si>
    <t>T</t>
  </si>
  <si>
    <t>原边匝数计算值</t>
  </si>
  <si>
    <t>Np_act</t>
  </si>
  <si>
    <t>原边匝数实际值</t>
  </si>
  <si>
    <t>Ns</t>
  </si>
  <si>
    <t>副边匝数</t>
  </si>
  <si>
    <t>ΔBw_act</t>
  </si>
  <si>
    <t>最大磁通变化量实际值</t>
  </si>
  <si>
    <r>
      <t>I</t>
    </r>
    <r>
      <rPr>
        <i/>
        <vertAlign val="subscript"/>
        <sz val="12"/>
        <color indexed="14"/>
        <rFont val="Times New Roman"/>
        <family val="1"/>
      </rPr>
      <t>M_ZVS</t>
    </r>
  </si>
  <si>
    <t>最大输入电压，最高开关频率时的励磁电感电流峰值</t>
  </si>
  <si>
    <r>
      <t>I</t>
    </r>
    <r>
      <rPr>
        <i/>
        <vertAlign val="subscript"/>
        <sz val="12"/>
        <color indexed="14"/>
        <rFont val="Times New Roman"/>
        <family val="1"/>
      </rPr>
      <t>ZVS</t>
    </r>
  </si>
  <si>
    <r>
      <t>最大输入电压时的MOS管ZVS条件电流，</t>
    </r>
    <r>
      <rPr>
        <sz val="11"/>
        <color indexed="10"/>
        <rFont val="隶书"/>
        <family val="3"/>
        <charset val="134"/>
      </rPr>
      <t>I</t>
    </r>
    <r>
      <rPr>
        <vertAlign val="subscript"/>
        <sz val="11"/>
        <color indexed="10"/>
        <rFont val="隶书"/>
        <family val="3"/>
        <charset val="134"/>
      </rPr>
      <t>ZVS</t>
    </r>
    <r>
      <rPr>
        <sz val="11"/>
        <color indexed="10"/>
        <rFont val="隶书"/>
        <family val="3"/>
        <charset val="134"/>
      </rPr>
      <t>&lt;I</t>
    </r>
    <r>
      <rPr>
        <vertAlign val="subscript"/>
        <sz val="11"/>
        <color indexed="10"/>
        <rFont val="隶书"/>
        <family val="3"/>
        <charset val="134"/>
      </rPr>
      <t>M_ZVS</t>
    </r>
    <r>
      <rPr>
        <sz val="11"/>
        <color indexed="10"/>
        <rFont val="隶书"/>
        <family val="3"/>
        <charset val="134"/>
      </rPr>
      <t>是实现ZVS的必要条件之一。</t>
    </r>
  </si>
  <si>
    <r>
      <t>以下是一个验算工具</t>
    </r>
    <r>
      <rPr>
        <sz val="11"/>
        <color indexed="17"/>
        <rFont val="隶书"/>
        <family val="3"/>
        <charset val="134"/>
      </rPr>
      <t>：用于计算已经设计好Lr、Cr、Lm、n等主电路参数的电路在指定的任意负载时的增益及开关频率，方法是输入指定输出电压、输出电流，迭代输入开关频率Fs_att然后用G（Fsn,Q,λ）函数计算增益</t>
    </r>
    <r>
      <rPr>
        <i/>
        <sz val="11"/>
        <color indexed="17"/>
        <rFont val="隶书"/>
        <family val="3"/>
        <charset val="134"/>
      </rPr>
      <t>G（Fsn,Q,λ）</t>
    </r>
    <r>
      <rPr>
        <vertAlign val="subscript"/>
        <sz val="11"/>
        <color indexed="17"/>
        <rFont val="隶书"/>
        <family val="3"/>
        <charset val="134"/>
      </rPr>
      <t>，</t>
    </r>
    <r>
      <rPr>
        <sz val="11"/>
        <color indexed="17"/>
        <rFont val="隶书"/>
        <family val="3"/>
        <charset val="134"/>
      </rPr>
      <t>当输入频率的使得计算出来增益小于用公式“G=2n*(Vout+VDF)/Vin”计算出来的</t>
    </r>
    <r>
      <rPr>
        <i/>
        <sz val="11"/>
        <color indexed="17"/>
        <rFont val="隶书"/>
        <family val="3"/>
        <charset val="134"/>
      </rPr>
      <t>G（Vout,Vin)</t>
    </r>
    <r>
      <rPr>
        <sz val="11"/>
        <color indexed="17"/>
        <rFont val="隶书"/>
        <family val="3"/>
        <charset val="134"/>
      </rPr>
      <t>时，说明这个频率是满足要求的。应用1：计算轻载的开关频率；应用2：计算有假负载时电源空载（不完全空载）的最高开关频率（上面表格计算的最高开关频率是电源完全空载时的最高开关频率），当这个频率小于上面表格计算出来Gmin时，说明这个频率是符合要求的最高开关频率。</t>
    </r>
  </si>
  <si>
    <t>G</t>
  </si>
  <si>
    <t>为灵活工具的应用而设置的计算中间变量，下面Q（Fsn,G,λ）计算引用了它。</t>
  </si>
  <si>
    <t>Q</t>
  </si>
  <si>
    <t>为灵活工具的应用而设置的计算中间变量，这里引用的是下面的(Vout,Iout,Zo)的值，.下面G（Fsn,Q,λ）计算引用了它。</t>
  </si>
  <si>
    <t>谐振电感与励磁电感的比值，引用上表值</t>
  </si>
  <si>
    <t>Fs_att</t>
  </si>
  <si>
    <t>迭代输入的开关频率</t>
  </si>
  <si>
    <t>Fsn</t>
  </si>
  <si>
    <t>迭代归一化频率，Fsn=Fs_att/Fr1</t>
  </si>
  <si>
    <t>Vin</t>
  </si>
  <si>
    <t>指定条件的输入电压</t>
  </si>
  <si>
    <t>Vout</t>
  </si>
  <si>
    <t>指定条件的输出电压</t>
  </si>
  <si>
    <t>Iout</t>
  </si>
  <si>
    <t>指定条件的输出电流</t>
  </si>
  <si>
    <r>
      <t>n</t>
    </r>
    <r>
      <rPr>
        <b/>
        <i/>
        <vertAlign val="subscript"/>
        <sz val="12"/>
        <color indexed="12"/>
        <rFont val="Times New Roman"/>
        <family val="1"/>
      </rPr>
      <t>real</t>
    </r>
  </si>
  <si>
    <t>变压器实际匝比，引用上表值，下面Q(Vout,Iout,Zo)、G（Vout,Vin)计算都引用了它。</t>
  </si>
  <si>
    <t>G（Fsn,Q,λ）</t>
  </si>
  <si>
    <t>使用Fsn,Q,λ计算出的增益</t>
  </si>
  <si>
    <t>Q（Fsn,G,λ）</t>
  </si>
  <si>
    <t>使用Fsn,G,λ计算出的Q值，它与使用Vout,Iout,Zo计算出来的Q应该相等</t>
  </si>
  <si>
    <t>Q(Vout,Iout,Zo)</t>
  </si>
  <si>
    <t>使用Vout,Iout,Zo计算出来的Q</t>
  </si>
  <si>
    <t>G（Vout,Vin)</t>
  </si>
  <si>
    <t>使用Vout、Vin计算出来的增益</t>
  </si>
  <si>
    <t>Gmin</t>
  </si>
  <si>
    <t>引用上表的最小增益</t>
  </si>
  <si>
    <t>Gmax</t>
  </si>
  <si>
    <t>引用上表的最大增益</t>
  </si>
  <si>
    <t>结果</t>
  </si>
  <si>
    <t>输入频率是否满足要求，1：表示合格，0：表示不合格</t>
  </si>
  <si>
    <t>LLC半桥谐振计算</t>
    <phoneticPr fontId="46" type="noConversion"/>
  </si>
</sst>
</file>

<file path=xl/styles.xml><?xml version="1.0" encoding="utf-8"?>
<styleSheet xmlns="http://schemas.openxmlformats.org/spreadsheetml/2006/main">
  <numFmts count="2">
    <numFmt numFmtId="176" formatCode="0.000_);[Red]\(0.000\)"/>
    <numFmt numFmtId="177" formatCode="0_);[Red]\(0\)"/>
  </numFmts>
  <fonts count="49">
    <font>
      <sz val="12"/>
      <name val="宋体"/>
      <charset val="134"/>
    </font>
    <font>
      <i/>
      <vertAlign val="subscript"/>
      <sz val="12"/>
      <color indexed="14"/>
      <name val="宋体"/>
      <family val="3"/>
      <charset val="134"/>
    </font>
    <font>
      <i/>
      <vertAlign val="subscript"/>
      <sz val="12"/>
      <color indexed="14"/>
      <name val="Times New Roman"/>
      <family val="1"/>
    </font>
    <font>
      <i/>
      <vertAlign val="subscript"/>
      <sz val="12"/>
      <name val="Times New Roman"/>
      <family val="1"/>
    </font>
    <font>
      <vertAlign val="subscript"/>
      <sz val="11"/>
      <name val="隶书"/>
      <family val="3"/>
      <charset val="134"/>
    </font>
    <font>
      <sz val="11"/>
      <name val="隶书"/>
      <family val="3"/>
      <charset val="134"/>
    </font>
    <font>
      <i/>
      <vertAlign val="subscript"/>
      <sz val="12"/>
      <color indexed="12"/>
      <name val="Times New Roman"/>
      <family val="1"/>
    </font>
    <font>
      <i/>
      <vertAlign val="subscript"/>
      <sz val="12"/>
      <color indexed="17"/>
      <name val="Times New Roman"/>
      <family val="1"/>
    </font>
    <font>
      <i/>
      <sz val="11"/>
      <name val="隶书"/>
      <family val="3"/>
      <charset val="134"/>
    </font>
    <font>
      <i/>
      <vertAlign val="superscript"/>
      <sz val="12"/>
      <name val="宋体"/>
      <family val="3"/>
      <charset val="134"/>
    </font>
    <font>
      <sz val="11"/>
      <color indexed="10"/>
      <name val="隶书"/>
      <family val="3"/>
      <charset val="134"/>
    </font>
    <font>
      <vertAlign val="subscript"/>
      <sz val="11"/>
      <color indexed="10"/>
      <name val="隶书"/>
      <family val="3"/>
      <charset val="134"/>
    </font>
    <font>
      <sz val="11"/>
      <color indexed="17"/>
      <name val="隶书"/>
      <family val="3"/>
      <charset val="134"/>
    </font>
    <font>
      <i/>
      <sz val="11"/>
      <color indexed="17"/>
      <name val="隶书"/>
      <family val="3"/>
      <charset val="134"/>
    </font>
    <font>
      <vertAlign val="subscript"/>
      <sz val="11"/>
      <color indexed="17"/>
      <name val="隶书"/>
      <family val="3"/>
      <charset val="134"/>
    </font>
    <font>
      <b/>
      <i/>
      <vertAlign val="subscript"/>
      <sz val="12"/>
      <color indexed="12"/>
      <name val="Times New Roman"/>
      <family val="1"/>
    </font>
    <font>
      <sz val="10"/>
      <name val="宋体"/>
      <family val="3"/>
      <charset val="134"/>
    </font>
    <font>
      <b/>
      <sz val="12"/>
      <name val="隶书"/>
      <family val="3"/>
      <charset val="134"/>
    </font>
    <font>
      <b/>
      <i/>
      <sz val="12"/>
      <name val="隶书"/>
      <family val="3"/>
      <charset val="134"/>
    </font>
    <font>
      <b/>
      <sz val="11"/>
      <name val="宋体"/>
      <family val="3"/>
      <charset val="134"/>
    </font>
    <font>
      <i/>
      <sz val="12"/>
      <name val="Times New Roman"/>
      <family val="1"/>
    </font>
    <font>
      <i/>
      <sz val="10"/>
      <name val="Times New Roman"/>
      <family val="1"/>
    </font>
    <font>
      <sz val="10"/>
      <color indexed="14"/>
      <name val="宋体"/>
      <family val="3"/>
      <charset val="134"/>
    </font>
    <font>
      <i/>
      <sz val="12"/>
      <color indexed="14"/>
      <name val="Times New Roman"/>
      <family val="1"/>
    </font>
    <font>
      <i/>
      <sz val="12"/>
      <color indexed="17"/>
      <name val="Times New Roman"/>
      <family val="1"/>
    </font>
    <font>
      <sz val="10"/>
      <color indexed="17"/>
      <name val="宋体"/>
      <family val="3"/>
      <charset val="134"/>
    </font>
    <font>
      <sz val="10"/>
      <color indexed="10"/>
      <name val="宋体"/>
      <family val="3"/>
      <charset val="134"/>
    </font>
    <font>
      <i/>
      <sz val="12"/>
      <name val="宋体"/>
      <family val="3"/>
      <charset val="134"/>
    </font>
    <font>
      <i/>
      <sz val="12"/>
      <color indexed="57"/>
      <name val="Times New Roman"/>
      <family val="1"/>
    </font>
    <font>
      <sz val="14"/>
      <color indexed="57"/>
      <name val="隶书"/>
      <family val="3"/>
      <charset val="134"/>
    </font>
    <font>
      <sz val="10"/>
      <color indexed="14"/>
      <name val="隶书"/>
      <family val="3"/>
      <charset val="134"/>
    </font>
    <font>
      <i/>
      <sz val="12"/>
      <color indexed="14"/>
      <name val="宋体"/>
      <family val="3"/>
      <charset val="134"/>
    </font>
    <font>
      <sz val="14"/>
      <name val="宋体"/>
      <family val="3"/>
      <charset val="134"/>
    </font>
    <font>
      <i/>
      <sz val="10"/>
      <name val="宋体"/>
      <family val="3"/>
      <charset val="134"/>
    </font>
    <font>
      <i/>
      <sz val="12"/>
      <color indexed="12"/>
      <name val="Times New Roman"/>
      <family val="1"/>
    </font>
    <font>
      <sz val="10"/>
      <color indexed="12"/>
      <name val="宋体"/>
      <family val="3"/>
      <charset val="134"/>
    </font>
    <font>
      <i/>
      <sz val="12"/>
      <color indexed="12"/>
      <name val="宋体"/>
      <family val="3"/>
      <charset val="134"/>
    </font>
    <font>
      <b/>
      <i/>
      <sz val="12"/>
      <color indexed="12"/>
      <name val="Times New Roman"/>
      <family val="1"/>
    </font>
    <font>
      <i/>
      <sz val="14"/>
      <color indexed="14"/>
      <name val="Times New Roman"/>
      <family val="1"/>
    </font>
    <font>
      <sz val="10"/>
      <name val="楷体"/>
      <family val="3"/>
      <charset val="134"/>
    </font>
    <font>
      <sz val="11"/>
      <name val="楷体"/>
      <family val="3"/>
      <charset val="134"/>
    </font>
    <font>
      <i/>
      <sz val="10"/>
      <name val="楷体"/>
      <family val="3"/>
      <charset val="134"/>
    </font>
    <font>
      <sz val="14"/>
      <name val="楷体"/>
      <family val="3"/>
      <charset val="134"/>
    </font>
    <font>
      <i/>
      <sz val="12"/>
      <color indexed="10"/>
      <name val="宋体"/>
      <family val="3"/>
      <charset val="134"/>
    </font>
    <font>
      <i/>
      <sz val="12"/>
      <name val="隶书"/>
      <family val="3"/>
      <charset val="134"/>
    </font>
    <font>
      <sz val="10"/>
      <name val="隶书"/>
      <family val="3"/>
      <charset val="134"/>
    </font>
    <font>
      <sz val="9"/>
      <name val="宋体"/>
      <family val="3"/>
      <charset val="134"/>
    </font>
    <font>
      <b/>
      <sz val="28"/>
      <color rgb="FF002060"/>
      <name val="隶书"/>
      <family val="3"/>
      <charset val="134"/>
    </font>
    <font>
      <sz val="28"/>
      <color rgb="FF00206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76" fontId="16" fillId="2" borderId="1" xfId="0" applyNumberFormat="1" applyFont="1" applyFill="1" applyBorder="1" applyAlignment="1" applyProtection="1">
      <alignment horizontal="left" vertical="center"/>
      <protection hidden="1"/>
    </xf>
    <xf numFmtId="176" fontId="17" fillId="3" borderId="1" xfId="0" applyNumberFormat="1" applyFont="1" applyFill="1" applyBorder="1" applyAlignment="1" applyProtection="1">
      <alignment horizontal="center" vertical="center" wrapText="1"/>
      <protection hidden="1"/>
    </xf>
    <xf numFmtId="176" fontId="18" fillId="3" borderId="1" xfId="0" applyNumberFormat="1" applyFont="1" applyFill="1" applyBorder="1" applyAlignment="1" applyProtection="1">
      <alignment horizontal="center" vertical="center"/>
      <protection hidden="1"/>
    </xf>
    <xf numFmtId="176" fontId="19" fillId="3" borderId="1" xfId="0" applyNumberFormat="1" applyFont="1" applyFill="1" applyBorder="1" applyAlignment="1" applyProtection="1">
      <alignment horizontal="center" vertical="center"/>
      <protection hidden="1"/>
    </xf>
    <xf numFmtId="176" fontId="19" fillId="2" borderId="1" xfId="0" applyNumberFormat="1" applyFont="1" applyFill="1" applyBorder="1" applyAlignment="1" applyProtection="1">
      <alignment horizontal="center" vertical="center"/>
      <protection hidden="1"/>
    </xf>
    <xf numFmtId="176" fontId="20" fillId="2" borderId="1" xfId="0" applyNumberFormat="1" applyFont="1" applyFill="1" applyBorder="1" applyAlignment="1" applyProtection="1">
      <alignment horizontal="center" vertical="center"/>
      <protection hidden="1"/>
    </xf>
    <xf numFmtId="176" fontId="16" fillId="2" borderId="1" xfId="0" applyNumberFormat="1" applyFont="1" applyFill="1" applyBorder="1" applyAlignment="1" applyProtection="1">
      <alignment horizontal="center" vertical="center"/>
      <protection locked="0"/>
    </xf>
    <xf numFmtId="176" fontId="21" fillId="2" borderId="1" xfId="0" applyNumberFormat="1" applyFont="1" applyFill="1" applyBorder="1" applyAlignment="1" applyProtection="1">
      <alignment horizontal="center" vertical="center"/>
      <protection hidden="1"/>
    </xf>
    <xf numFmtId="176" fontId="5" fillId="2" borderId="1" xfId="0" applyNumberFormat="1" applyFont="1" applyFill="1" applyBorder="1" applyAlignment="1" applyProtection="1">
      <alignment horizontal="left" vertical="center"/>
      <protection hidden="1"/>
    </xf>
    <xf numFmtId="176" fontId="22" fillId="2" borderId="1" xfId="0" applyNumberFormat="1" applyFont="1" applyFill="1" applyBorder="1" applyAlignment="1" applyProtection="1">
      <alignment vertical="center"/>
      <protection hidden="1"/>
    </xf>
    <xf numFmtId="176" fontId="23" fillId="2" borderId="1" xfId="0" applyNumberFormat="1" applyFont="1" applyFill="1" applyBorder="1" applyAlignment="1" applyProtection="1">
      <alignment horizontal="center" vertical="center"/>
      <protection hidden="1"/>
    </xf>
    <xf numFmtId="176" fontId="22" fillId="2" borderId="1" xfId="0" applyNumberFormat="1" applyFont="1" applyFill="1" applyBorder="1" applyAlignment="1" applyProtection="1">
      <alignment horizontal="center" vertical="center"/>
      <protection hidden="1"/>
    </xf>
    <xf numFmtId="176" fontId="0" fillId="0" borderId="1" xfId="0" applyNumberFormat="1" applyBorder="1" applyAlignment="1" applyProtection="1">
      <alignment vertical="center"/>
      <protection hidden="1"/>
    </xf>
    <xf numFmtId="176" fontId="24" fillId="2" borderId="1" xfId="0" applyNumberFormat="1" applyFont="1" applyFill="1" applyBorder="1" applyAlignment="1" applyProtection="1">
      <alignment horizontal="center" vertical="center"/>
      <protection hidden="1"/>
    </xf>
    <xf numFmtId="176" fontId="25" fillId="2" borderId="1" xfId="0" applyNumberFormat="1" applyFont="1" applyFill="1" applyBorder="1" applyAlignment="1" applyProtection="1">
      <alignment horizontal="center" vertical="center"/>
      <protection hidden="1"/>
    </xf>
    <xf numFmtId="176" fontId="26" fillId="2" borderId="1" xfId="0" applyNumberFormat="1" applyFont="1" applyFill="1" applyBorder="1" applyAlignment="1" applyProtection="1">
      <alignment horizontal="left" vertical="center"/>
      <protection hidden="1"/>
    </xf>
    <xf numFmtId="176" fontId="24" fillId="0" borderId="1" xfId="0" applyNumberFormat="1" applyFont="1" applyFill="1" applyBorder="1" applyAlignment="1" applyProtection="1">
      <alignment horizontal="center" vertical="center"/>
      <protection hidden="1"/>
    </xf>
    <xf numFmtId="176" fontId="25" fillId="0" borderId="1" xfId="0" applyNumberFormat="1" applyFont="1" applyBorder="1" applyAlignment="1" applyProtection="1">
      <alignment horizontal="center" vertical="center"/>
      <protection hidden="1"/>
    </xf>
    <xf numFmtId="176" fontId="27" fillId="0" borderId="1" xfId="0" applyNumberFormat="1" applyFont="1" applyBorder="1" applyAlignment="1" applyProtection="1">
      <alignment horizontal="center" vertical="center"/>
      <protection hidden="1"/>
    </xf>
    <xf numFmtId="176" fontId="20" fillId="0" borderId="1" xfId="0" applyNumberFormat="1" applyFont="1" applyFill="1" applyBorder="1" applyAlignment="1" applyProtection="1">
      <alignment horizontal="center" vertical="center"/>
      <protection hidden="1"/>
    </xf>
    <xf numFmtId="176" fontId="16" fillId="0" borderId="1" xfId="0" applyNumberFormat="1" applyFont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 applyProtection="1">
      <alignment horizontal="center" vertical="center"/>
      <protection hidden="1"/>
    </xf>
    <xf numFmtId="176" fontId="22" fillId="0" borderId="1" xfId="0" applyNumberFormat="1" applyFont="1" applyBorder="1" applyAlignment="1" applyProtection="1">
      <alignment horizontal="center" vertical="center"/>
      <protection hidden="1"/>
    </xf>
    <xf numFmtId="176" fontId="23" fillId="0" borderId="1" xfId="0" applyNumberFormat="1" applyFont="1" applyFill="1" applyBorder="1" applyAlignment="1" applyProtection="1">
      <alignment horizontal="center" vertical="center"/>
      <protection hidden="1"/>
    </xf>
    <xf numFmtId="176" fontId="28" fillId="0" borderId="1" xfId="0" applyNumberFormat="1" applyFont="1" applyFill="1" applyBorder="1" applyAlignment="1" applyProtection="1">
      <alignment horizontal="center" vertical="center"/>
      <protection hidden="1"/>
    </xf>
    <xf numFmtId="176" fontId="27" fillId="2" borderId="1" xfId="0" applyNumberFormat="1" applyFont="1" applyFill="1" applyBorder="1" applyAlignment="1" applyProtection="1">
      <alignment horizontal="center" vertical="center"/>
      <protection hidden="1"/>
    </xf>
    <xf numFmtId="176" fontId="29" fillId="0" borderId="1" xfId="0" applyNumberFormat="1" applyFont="1" applyBorder="1" applyAlignment="1" applyProtection="1">
      <alignment vertical="center"/>
      <protection hidden="1"/>
    </xf>
    <xf numFmtId="176" fontId="30" fillId="0" borderId="1" xfId="0" applyNumberFormat="1" applyFont="1" applyBorder="1" applyAlignment="1" applyProtection="1">
      <alignment horizontal="center" vertical="center"/>
      <protection hidden="1"/>
    </xf>
    <xf numFmtId="176" fontId="31" fillId="2" borderId="1" xfId="0" applyNumberFormat="1" applyFont="1" applyFill="1" applyBorder="1" applyAlignment="1" applyProtection="1">
      <alignment horizontal="center" vertical="center"/>
      <protection hidden="1"/>
    </xf>
    <xf numFmtId="176" fontId="32" fillId="0" borderId="1" xfId="0" applyNumberFormat="1" applyFont="1" applyBorder="1" applyAlignment="1" applyProtection="1">
      <alignment vertical="center"/>
      <protection hidden="1"/>
    </xf>
    <xf numFmtId="176" fontId="27" fillId="2" borderId="1" xfId="0" applyNumberFormat="1" applyFont="1" applyFill="1" applyBorder="1" applyAlignment="1" applyProtection="1">
      <alignment horizontal="left" vertical="center"/>
      <protection hidden="1"/>
    </xf>
    <xf numFmtId="176" fontId="16" fillId="2" borderId="1" xfId="0" applyNumberFormat="1" applyFont="1" applyFill="1" applyBorder="1" applyAlignment="1" applyProtection="1">
      <alignment horizontal="center" vertical="center"/>
      <protection hidden="1"/>
    </xf>
    <xf numFmtId="176" fontId="0" fillId="0" borderId="1" xfId="0" applyNumberFormat="1" applyFill="1" applyBorder="1" applyAlignment="1" applyProtection="1">
      <alignment vertical="center"/>
      <protection hidden="1"/>
    </xf>
    <xf numFmtId="176" fontId="33" fillId="0" borderId="1" xfId="0" applyNumberFormat="1" applyFont="1" applyFill="1" applyBorder="1" applyAlignment="1" applyProtection="1">
      <alignment horizontal="center" vertical="center"/>
      <protection hidden="1"/>
    </xf>
    <xf numFmtId="176" fontId="34" fillId="0" borderId="1" xfId="0" applyNumberFormat="1" applyFont="1" applyFill="1" applyBorder="1" applyAlignment="1" applyProtection="1">
      <alignment horizontal="center" vertical="center"/>
      <protection hidden="1"/>
    </xf>
    <xf numFmtId="176" fontId="34" fillId="2" borderId="1" xfId="0" applyNumberFormat="1" applyFont="1" applyFill="1" applyBorder="1" applyAlignment="1" applyProtection="1">
      <alignment horizontal="center" vertical="center"/>
      <protection hidden="1"/>
    </xf>
    <xf numFmtId="176" fontId="35" fillId="2" borderId="1" xfId="0" applyNumberFormat="1" applyFont="1" applyFill="1" applyBorder="1" applyAlignment="1" applyProtection="1">
      <alignment horizontal="center" vertical="center"/>
      <protection locked="0"/>
    </xf>
    <xf numFmtId="176" fontId="29" fillId="2" borderId="1" xfId="0" applyNumberFormat="1" applyFont="1" applyFill="1" applyBorder="1" applyAlignment="1" applyProtection="1">
      <alignment horizontal="left" vertical="center" wrapText="1"/>
      <protection hidden="1"/>
    </xf>
    <xf numFmtId="176" fontId="36" fillId="2" borderId="1" xfId="0" applyNumberFormat="1" applyFont="1" applyFill="1" applyBorder="1" applyAlignment="1" applyProtection="1">
      <alignment horizontal="center" vertical="center"/>
      <protection hidden="1"/>
    </xf>
    <xf numFmtId="176" fontId="37" fillId="0" borderId="1" xfId="0" applyNumberFormat="1" applyFont="1" applyFill="1" applyBorder="1" applyAlignment="1" applyProtection="1">
      <alignment horizontal="center" vertical="center"/>
      <protection hidden="1"/>
    </xf>
    <xf numFmtId="176" fontId="0" fillId="0" borderId="2" xfId="0" applyNumberFormat="1" applyFill="1" applyBorder="1" applyAlignment="1" applyProtection="1">
      <alignment vertical="center"/>
      <protection hidden="1"/>
    </xf>
    <xf numFmtId="176" fontId="39" fillId="2" borderId="1" xfId="0" applyNumberFormat="1" applyFont="1" applyFill="1" applyBorder="1" applyAlignment="1" applyProtection="1">
      <alignment horizontal="left" vertical="center"/>
      <protection hidden="1"/>
    </xf>
    <xf numFmtId="176" fontId="40" fillId="2" borderId="1" xfId="0" applyNumberFormat="1" applyFont="1" applyFill="1" applyBorder="1" applyAlignment="1" applyProtection="1">
      <alignment horizontal="left" vertical="center"/>
      <protection hidden="1"/>
    </xf>
    <xf numFmtId="176" fontId="41" fillId="2" borderId="1" xfId="0" applyNumberFormat="1" applyFont="1" applyFill="1" applyBorder="1" applyAlignment="1" applyProtection="1">
      <alignment horizontal="center" vertical="center"/>
      <protection hidden="1"/>
    </xf>
    <xf numFmtId="176" fontId="42" fillId="0" borderId="1" xfId="0" applyNumberFormat="1" applyFont="1" applyBorder="1" applyAlignment="1" applyProtection="1">
      <alignment vertical="center"/>
      <protection hidden="1"/>
    </xf>
    <xf numFmtId="177" fontId="26" fillId="2" borderId="1" xfId="0" applyNumberFormat="1" applyFont="1" applyFill="1" applyBorder="1" applyAlignment="1" applyProtection="1">
      <alignment horizontal="center" vertical="center"/>
      <protection hidden="1"/>
    </xf>
    <xf numFmtId="176" fontId="26" fillId="2" borderId="1" xfId="0" applyNumberFormat="1" applyFont="1" applyFill="1" applyBorder="1" applyAlignment="1" applyProtection="1">
      <alignment horizontal="center" vertical="center"/>
      <protection hidden="1"/>
    </xf>
    <xf numFmtId="176" fontId="43" fillId="2" borderId="1" xfId="0" applyNumberFormat="1" applyFont="1" applyFill="1" applyBorder="1" applyAlignment="1" applyProtection="1">
      <alignment horizontal="center" vertical="center"/>
      <protection hidden="1"/>
    </xf>
    <xf numFmtId="176" fontId="8" fillId="0" borderId="1" xfId="0" applyNumberFormat="1" applyFont="1" applyBorder="1" applyAlignment="1" applyProtection="1">
      <alignment horizontal="center" vertical="center"/>
      <protection hidden="1"/>
    </xf>
    <xf numFmtId="176" fontId="45" fillId="0" borderId="1" xfId="0" applyNumberFormat="1" applyFont="1" applyBorder="1" applyAlignment="1" applyProtection="1">
      <alignment horizontal="center" vertical="center"/>
      <protection locked="0"/>
    </xf>
    <xf numFmtId="176" fontId="22" fillId="2" borderId="1" xfId="0" applyNumberFormat="1" applyFont="1" applyFill="1" applyBorder="1" applyAlignment="1" applyProtection="1">
      <alignment horizontal="left" vertical="center"/>
      <protection hidden="1"/>
    </xf>
    <xf numFmtId="176" fontId="27" fillId="6" borderId="3" xfId="0" applyNumberFormat="1" applyFont="1" applyFill="1" applyBorder="1" applyAlignment="1" applyProtection="1">
      <alignment horizontal="left" vertical="center"/>
      <protection hidden="1"/>
    </xf>
    <xf numFmtId="0" fontId="0" fillId="6" borderId="2" xfId="0" applyFill="1" applyBorder="1" applyAlignment="1">
      <alignment vertical="center"/>
    </xf>
    <xf numFmtId="0" fontId="0" fillId="6" borderId="0" xfId="0" applyFill="1" applyAlignment="1">
      <alignment vertical="center"/>
    </xf>
    <xf numFmtId="176" fontId="5" fillId="2" borderId="1" xfId="0" applyNumberFormat="1" applyFont="1" applyFill="1" applyBorder="1" applyAlignment="1" applyProtection="1">
      <alignment horizontal="left" vertical="center" wrapText="1"/>
      <protection hidden="1"/>
    </xf>
    <xf numFmtId="176" fontId="5" fillId="2" borderId="1" xfId="0" applyNumberFormat="1" applyFont="1" applyFill="1" applyBorder="1" applyAlignment="1" applyProtection="1">
      <alignment horizontal="left" vertical="center"/>
      <protection hidden="1"/>
    </xf>
    <xf numFmtId="176" fontId="5" fillId="0" borderId="1" xfId="0" applyNumberFormat="1" applyFont="1" applyBorder="1" applyAlignment="1" applyProtection="1">
      <alignment vertical="center"/>
      <protection hidden="1"/>
    </xf>
    <xf numFmtId="176" fontId="38" fillId="4" borderId="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176" fontId="10" fillId="5" borderId="1" xfId="0" applyNumberFormat="1" applyFont="1" applyFill="1" applyBorder="1" applyAlignment="1" applyProtection="1">
      <alignment horizontal="left" vertical="center" wrapText="1"/>
      <protection hidden="1"/>
    </xf>
    <xf numFmtId="176" fontId="12" fillId="5" borderId="1" xfId="0" applyNumberFormat="1" applyFont="1" applyFill="1" applyBorder="1" applyAlignment="1" applyProtection="1">
      <alignment horizontal="left" vertical="center" wrapText="1"/>
      <protection hidden="1"/>
    </xf>
    <xf numFmtId="176" fontId="21" fillId="3" borderId="1" xfId="0" applyNumberFormat="1" applyFont="1" applyFill="1" applyBorder="1" applyAlignment="1" applyProtection="1">
      <alignment horizontal="left" vertical="center"/>
      <protection hidden="1"/>
    </xf>
    <xf numFmtId="176" fontId="0" fillId="0" borderId="1" xfId="0" applyNumberFormat="1" applyBorder="1" applyAlignment="1" applyProtection="1">
      <alignment vertical="center"/>
      <protection hidden="1"/>
    </xf>
    <xf numFmtId="176" fontId="0" fillId="0" borderId="1" xfId="0" applyNumberFormat="1" applyBorder="1" applyAlignment="1" applyProtection="1">
      <alignment horizontal="left" vertical="center"/>
      <protection hidden="1"/>
    </xf>
    <xf numFmtId="176" fontId="0" fillId="0" borderId="1" xfId="0" applyNumberFormat="1" applyFont="1" applyBorder="1" applyAlignment="1" applyProtection="1">
      <alignment horizontal="left" vertical="center"/>
      <protection hidden="1"/>
    </xf>
    <xf numFmtId="176" fontId="0" fillId="0" borderId="1" xfId="0" applyNumberFormat="1" applyBorder="1" applyAlignment="1">
      <alignment horizontal="left" vertical="center"/>
    </xf>
    <xf numFmtId="176" fontId="47" fillId="0" borderId="1" xfId="0" applyNumberFormat="1" applyFont="1" applyFill="1" applyBorder="1" applyAlignment="1" applyProtection="1">
      <alignment horizontal="center" vertical="center"/>
      <protection hidden="1"/>
    </xf>
    <xf numFmtId="176" fontId="48" fillId="0" borderId="1" xfId="0" applyNumberFormat="1" applyFont="1" applyFill="1" applyBorder="1" applyAlignment="1" applyProtection="1">
      <alignment horizontal="center"/>
      <protection hidden="1"/>
    </xf>
    <xf numFmtId="176" fontId="48" fillId="0" borderId="1" xfId="0" applyNumberFormat="1" applyFont="1" applyFill="1" applyBorder="1" applyAlignment="1" applyProtection="1">
      <protection hidden="1"/>
    </xf>
    <xf numFmtId="176" fontId="17" fillId="3" borderId="1" xfId="0" applyNumberFormat="1" applyFont="1" applyFill="1" applyBorder="1" applyAlignment="1" applyProtection="1">
      <alignment horizontal="center" vertical="center"/>
      <protection hidden="1"/>
    </xf>
    <xf numFmtId="176" fontId="0" fillId="0" borderId="1" xfId="0" applyNumberFormat="1" applyBorder="1" applyAlignment="1" applyProtection="1">
      <alignment horizontal="left" vertical="center" wrapText="1"/>
      <protection hidden="1"/>
    </xf>
    <xf numFmtId="176" fontId="44" fillId="0" borderId="1" xfId="0" applyNumberFormat="1" applyFont="1" applyFill="1" applyBorder="1" applyAlignment="1" applyProtection="1">
      <alignment vertical="center"/>
      <protection hidden="1"/>
    </xf>
    <xf numFmtId="176" fontId="0" fillId="0" borderId="1" xfId="0" applyNumberFormat="1" applyFill="1" applyBorder="1" applyAlignment="1" applyProtection="1">
      <alignment vertical="center"/>
      <protection hidden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/>
  <dimension ref="A1:IT107"/>
  <sheetViews>
    <sheetView tabSelected="1" topLeftCell="A61" workbookViewId="0">
      <selection activeCell="L14" sqref="L14"/>
    </sheetView>
  </sheetViews>
  <sheetFormatPr defaultRowHeight="14.25"/>
  <cols>
    <col min="1" max="1" width="17.75" style="31" bestFit="1" customWidth="1"/>
    <col min="2" max="2" width="11.25" style="32" bestFit="1" customWidth="1"/>
    <col min="3" max="3" width="11.25" style="1" bestFit="1" customWidth="1"/>
    <col min="4" max="4" width="10.25" style="1" bestFit="1" customWidth="1"/>
    <col min="5" max="5" width="7" style="8" bestFit="1" customWidth="1"/>
    <col min="6" max="6" width="8.875" style="9" customWidth="1"/>
    <col min="7" max="8" width="9.375" style="1" bestFit="1" customWidth="1"/>
    <col min="9" max="9" width="9" style="1" bestFit="1"/>
    <col min="10" max="16384" width="9" style="1"/>
  </cols>
  <sheetData>
    <row r="1" spans="1:16" ht="12" customHeight="1">
      <c r="A1" s="69" t="s">
        <v>198</v>
      </c>
      <c r="B1" s="70"/>
      <c r="C1" s="70"/>
      <c r="D1" s="70"/>
      <c r="E1" s="70"/>
      <c r="F1" s="70"/>
      <c r="G1" s="70"/>
      <c r="H1" s="70"/>
      <c r="I1" s="70"/>
      <c r="J1" s="70"/>
      <c r="K1" s="71"/>
      <c r="L1" s="71"/>
      <c r="M1" s="71"/>
      <c r="N1" s="71"/>
      <c r="O1" s="71"/>
      <c r="P1" s="71"/>
    </row>
    <row r="2" spans="1:16" ht="33.75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1"/>
      <c r="L2" s="71"/>
      <c r="M2" s="71"/>
      <c r="N2" s="71"/>
      <c r="O2" s="71"/>
      <c r="P2" s="71"/>
    </row>
    <row r="3" spans="1:16" s="5" customFormat="1">
      <c r="A3" s="2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72" t="s">
        <v>5</v>
      </c>
      <c r="G3" s="72"/>
      <c r="H3" s="72"/>
      <c r="I3" s="72"/>
      <c r="J3" s="72"/>
      <c r="K3" s="4"/>
      <c r="L3" s="4"/>
      <c r="M3" s="4"/>
      <c r="N3" s="4"/>
      <c r="O3" s="4"/>
      <c r="P3" s="4"/>
    </row>
    <row r="4" spans="1:16" ht="15.75">
      <c r="A4" s="6" t="s">
        <v>6</v>
      </c>
      <c r="B4" s="7">
        <v>360</v>
      </c>
      <c r="E4" s="8" t="s">
        <v>7</v>
      </c>
      <c r="F4" s="56" t="s">
        <v>8</v>
      </c>
      <c r="G4" s="66"/>
      <c r="H4" s="66"/>
      <c r="I4" s="66"/>
      <c r="J4" s="66"/>
    </row>
    <row r="5" spans="1:16" ht="15.75">
      <c r="A5" s="6" t="s">
        <v>9</v>
      </c>
      <c r="B5" s="7">
        <v>340</v>
      </c>
      <c r="E5" s="8" t="s">
        <v>7</v>
      </c>
      <c r="F5" s="56" t="s">
        <v>10</v>
      </c>
      <c r="G5" s="66"/>
      <c r="H5" s="66"/>
      <c r="I5" s="66"/>
      <c r="J5" s="66"/>
    </row>
    <row r="6" spans="1:16" ht="15.75">
      <c r="A6" s="6" t="s">
        <v>11</v>
      </c>
      <c r="B6" s="7">
        <v>380</v>
      </c>
      <c r="E6" s="8" t="s">
        <v>7</v>
      </c>
      <c r="F6" s="56" t="s">
        <v>12</v>
      </c>
      <c r="G6" s="66"/>
      <c r="H6" s="66"/>
      <c r="I6" s="66"/>
      <c r="J6" s="66"/>
    </row>
    <row r="7" spans="1:16" ht="15.75">
      <c r="A7" s="6" t="s">
        <v>13</v>
      </c>
      <c r="B7" s="7">
        <v>47.6</v>
      </c>
      <c r="E7" s="8" t="s">
        <v>7</v>
      </c>
      <c r="F7" s="56" t="s">
        <v>14</v>
      </c>
      <c r="G7" s="66"/>
      <c r="H7" s="66"/>
      <c r="I7" s="66"/>
      <c r="J7" s="66"/>
    </row>
    <row r="8" spans="1:16" ht="15.75">
      <c r="A8" s="6" t="s">
        <v>15</v>
      </c>
      <c r="B8" s="7">
        <v>43.2</v>
      </c>
      <c r="E8" s="8" t="s">
        <v>7</v>
      </c>
      <c r="F8" s="56" t="s">
        <v>16</v>
      </c>
      <c r="G8" s="66"/>
      <c r="H8" s="66"/>
      <c r="I8" s="66"/>
      <c r="J8" s="66"/>
    </row>
    <row r="9" spans="1:16" ht="15.75">
      <c r="A9" s="6" t="s">
        <v>17</v>
      </c>
      <c r="B9" s="7">
        <v>54</v>
      </c>
      <c r="E9" s="8" t="s">
        <v>7</v>
      </c>
      <c r="F9" s="56" t="s">
        <v>18</v>
      </c>
      <c r="G9" s="66"/>
      <c r="H9" s="66"/>
      <c r="I9" s="66"/>
      <c r="J9" s="66"/>
    </row>
    <row r="10" spans="1:16" ht="15.75">
      <c r="A10" s="6" t="s">
        <v>19</v>
      </c>
      <c r="B10" s="7">
        <v>60</v>
      </c>
      <c r="E10" s="8" t="s">
        <v>20</v>
      </c>
      <c r="F10" s="56" t="s">
        <v>21</v>
      </c>
      <c r="G10" s="66"/>
      <c r="H10" s="66"/>
      <c r="I10" s="66"/>
      <c r="J10" s="66"/>
    </row>
    <row r="11" spans="1:16" ht="15.75">
      <c r="A11" s="6" t="s">
        <v>22</v>
      </c>
      <c r="B11" s="7">
        <v>60</v>
      </c>
      <c r="E11" s="8" t="s">
        <v>20</v>
      </c>
      <c r="F11" s="56" t="s">
        <v>23</v>
      </c>
      <c r="G11" s="66"/>
      <c r="H11" s="66"/>
      <c r="I11" s="66"/>
      <c r="J11" s="66"/>
    </row>
    <row r="12" spans="1:16" ht="15.75">
      <c r="A12" s="6" t="s">
        <v>24</v>
      </c>
      <c r="B12" s="7">
        <v>20</v>
      </c>
      <c r="E12" s="8" t="s">
        <v>20</v>
      </c>
      <c r="F12" s="56" t="s">
        <v>25</v>
      </c>
      <c r="G12" s="66"/>
      <c r="H12" s="66"/>
      <c r="I12" s="66"/>
      <c r="J12" s="66"/>
    </row>
    <row r="13" spans="1:16" ht="15.75">
      <c r="A13" s="6" t="s">
        <v>26</v>
      </c>
      <c r="B13" s="7">
        <v>120000</v>
      </c>
      <c r="E13" s="8" t="s">
        <v>27</v>
      </c>
      <c r="F13" s="56" t="s">
        <v>28</v>
      </c>
      <c r="G13" s="66"/>
      <c r="H13" s="66"/>
      <c r="I13" s="66"/>
      <c r="J13" s="66"/>
    </row>
    <row r="14" spans="1:16" ht="15.75">
      <c r="A14" s="6" t="s">
        <v>29</v>
      </c>
      <c r="B14" s="7">
        <v>200000</v>
      </c>
      <c r="C14" s="10"/>
      <c r="F14" s="56" t="s">
        <v>30</v>
      </c>
      <c r="G14" s="68"/>
      <c r="H14" s="68"/>
      <c r="I14" s="68"/>
      <c r="J14" s="68"/>
    </row>
    <row r="15" spans="1:16" ht="15.75">
      <c r="A15" s="11" t="s">
        <v>31</v>
      </c>
      <c r="B15" s="7"/>
      <c r="C15" s="10">
        <f>B13/POWER(1+B41*(1-1/C31),0.5)</f>
        <v>292594.73479903414</v>
      </c>
      <c r="E15" s="8" t="s">
        <v>27</v>
      </c>
      <c r="F15" s="56" t="s">
        <v>32</v>
      </c>
      <c r="G15" s="66"/>
      <c r="H15" s="66"/>
      <c r="I15" s="66"/>
      <c r="J15" s="66"/>
      <c r="K15" s="68"/>
      <c r="L15" s="68"/>
    </row>
    <row r="16" spans="1:16" ht="15.75">
      <c r="A16" s="11" t="s">
        <v>33</v>
      </c>
      <c r="B16" s="7"/>
      <c r="C16" s="10">
        <f>B14</f>
        <v>200000</v>
      </c>
      <c r="F16" s="56" t="s">
        <v>34</v>
      </c>
      <c r="G16" s="68"/>
      <c r="H16" s="68"/>
      <c r="I16" s="68"/>
      <c r="J16" s="68"/>
    </row>
    <row r="17" spans="1:16" ht="15.75">
      <c r="A17" s="6" t="s">
        <v>35</v>
      </c>
      <c r="B17" s="7">
        <v>0.15</v>
      </c>
      <c r="E17" s="8" t="s">
        <v>36</v>
      </c>
      <c r="F17" s="56" t="s">
        <v>37</v>
      </c>
      <c r="G17" s="66"/>
      <c r="H17" s="66"/>
      <c r="I17" s="66"/>
      <c r="J17" s="66"/>
    </row>
    <row r="18" spans="1:16" ht="15.75">
      <c r="A18" s="6" t="s">
        <v>38</v>
      </c>
      <c r="B18" s="7">
        <v>0.45300000000000001</v>
      </c>
      <c r="E18" s="8" t="s">
        <v>39</v>
      </c>
      <c r="F18" s="56" t="s">
        <v>40</v>
      </c>
      <c r="G18" s="66"/>
      <c r="H18" s="66"/>
      <c r="I18" s="66"/>
      <c r="J18" s="66"/>
    </row>
    <row r="19" spans="1:16" ht="15.75">
      <c r="A19" s="6" t="s">
        <v>41</v>
      </c>
      <c r="B19" s="7">
        <v>0.2</v>
      </c>
      <c r="E19" s="8" t="s">
        <v>39</v>
      </c>
      <c r="F19" s="56" t="s">
        <v>42</v>
      </c>
      <c r="G19" s="66"/>
      <c r="H19" s="66"/>
      <c r="I19" s="66"/>
      <c r="J19" s="66"/>
    </row>
    <row r="20" spans="1:16" ht="15.75">
      <c r="A20" s="6" t="s">
        <v>43</v>
      </c>
      <c r="B20" s="7"/>
      <c r="C20" s="12">
        <f>2*B18+B19</f>
        <v>1.1060000000000001</v>
      </c>
      <c r="E20" s="8" t="s">
        <v>39</v>
      </c>
      <c r="F20" s="56" t="s">
        <v>44</v>
      </c>
      <c r="G20" s="66"/>
      <c r="H20" s="66"/>
      <c r="I20" s="66"/>
      <c r="J20" s="66"/>
    </row>
    <row r="21" spans="1:16" ht="15.75">
      <c r="A21" s="6" t="s">
        <v>45</v>
      </c>
      <c r="B21" s="7">
        <v>0.24</v>
      </c>
      <c r="E21" s="8" t="s">
        <v>7</v>
      </c>
      <c r="F21" s="56" t="s">
        <v>46</v>
      </c>
      <c r="G21" s="67"/>
      <c r="H21" s="67"/>
      <c r="I21" s="67"/>
      <c r="J21" s="67"/>
    </row>
    <row r="22" spans="1:16" ht="15.75">
      <c r="A22" s="6" t="s">
        <v>47</v>
      </c>
      <c r="B22" s="7">
        <v>270</v>
      </c>
      <c r="E22" s="8" t="s">
        <v>48</v>
      </c>
      <c r="F22" s="56" t="s">
        <v>49</v>
      </c>
      <c r="G22" s="66"/>
      <c r="H22" s="66"/>
      <c r="I22" s="66"/>
      <c r="J22" s="66"/>
    </row>
    <row r="23" spans="1:16" ht="15.75">
      <c r="A23" s="6" t="s">
        <v>50</v>
      </c>
      <c r="B23" s="7">
        <v>0.97</v>
      </c>
      <c r="F23" s="56" t="s">
        <v>51</v>
      </c>
      <c r="G23" s="67"/>
      <c r="H23" s="67"/>
      <c r="I23" s="67"/>
      <c r="J23" s="67"/>
    </row>
    <row r="24" spans="1:16" ht="15.75">
      <c r="A24" s="6" t="s">
        <v>52</v>
      </c>
      <c r="B24" s="7">
        <v>0.5</v>
      </c>
      <c r="F24" s="56" t="s">
        <v>53</v>
      </c>
      <c r="G24" s="66"/>
      <c r="H24" s="66"/>
      <c r="I24" s="66"/>
      <c r="J24" s="66"/>
    </row>
    <row r="25" spans="1:16" ht="15.75">
      <c r="A25" s="6" t="s">
        <v>54</v>
      </c>
      <c r="B25" s="7">
        <v>3.1415899999999999</v>
      </c>
      <c r="F25" s="56" t="s">
        <v>55</v>
      </c>
      <c r="G25" s="66"/>
      <c r="H25" s="66"/>
      <c r="I25" s="66"/>
      <c r="J25" s="66"/>
    </row>
    <row r="26" spans="1:16" s="13" customForma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</row>
    <row r="27" spans="1:16" ht="15.75">
      <c r="A27" s="11" t="s">
        <v>56</v>
      </c>
      <c r="B27" s="7"/>
      <c r="C27" s="12">
        <f>B7*B10</f>
        <v>2856</v>
      </c>
      <c r="E27" s="8" t="s">
        <v>57</v>
      </c>
      <c r="F27" s="56" t="s">
        <v>58</v>
      </c>
      <c r="G27" s="67"/>
      <c r="H27" s="67"/>
      <c r="I27" s="67"/>
      <c r="J27" s="67"/>
    </row>
    <row r="28" spans="1:16" ht="15.75">
      <c r="A28" s="11" t="s">
        <v>59</v>
      </c>
      <c r="B28" s="7"/>
      <c r="C28" s="12">
        <f>B9*B11</f>
        <v>3240</v>
      </c>
      <c r="E28" s="8" t="s">
        <v>57</v>
      </c>
      <c r="F28" s="56" t="s">
        <v>60</v>
      </c>
      <c r="G28" s="67"/>
      <c r="H28" s="67"/>
      <c r="I28" s="67"/>
      <c r="J28" s="67"/>
    </row>
    <row r="29" spans="1:16" ht="15.75">
      <c r="A29" s="11" t="s">
        <v>61</v>
      </c>
      <c r="B29" s="7"/>
      <c r="C29" s="12">
        <f>B4/2/(B7+B21)</f>
        <v>3.7625418060200668</v>
      </c>
      <c r="F29" s="56" t="s">
        <v>62</v>
      </c>
      <c r="G29" s="66"/>
      <c r="H29" s="66"/>
      <c r="I29" s="66"/>
      <c r="J29" s="66"/>
    </row>
    <row r="30" spans="1:16" ht="15.75">
      <c r="A30" s="11" t="s">
        <v>63</v>
      </c>
      <c r="B30" s="7"/>
      <c r="C30" s="12">
        <f>2*B51*(B9+B21)/B5</f>
        <v>1.1964705882352942</v>
      </c>
      <c r="F30" s="56" t="s">
        <v>64</v>
      </c>
      <c r="G30" s="66"/>
      <c r="H30" s="66"/>
      <c r="I30" s="66"/>
      <c r="J30" s="66"/>
    </row>
    <row r="31" spans="1:16" ht="15.75">
      <c r="A31" s="11" t="s">
        <v>65</v>
      </c>
      <c r="B31" s="7"/>
      <c r="C31" s="12">
        <f>2*B51*(B8+B21)/B6</f>
        <v>0.85736842105263156</v>
      </c>
      <c r="F31" s="55" t="s">
        <v>66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</row>
    <row r="32" spans="1:16" ht="18.75">
      <c r="A32" s="11" t="s">
        <v>67</v>
      </c>
      <c r="B32" s="7"/>
      <c r="C32" s="12">
        <f>1/(1+C40)</f>
        <v>0.83333333333333337</v>
      </c>
      <c r="F32" s="56" t="s">
        <v>68</v>
      </c>
      <c r="G32" s="67"/>
      <c r="H32" s="67"/>
      <c r="I32" s="67"/>
      <c r="J32" s="67"/>
    </row>
    <row r="33" spans="1:10" ht="15.75">
      <c r="A33" s="11" t="s">
        <v>69</v>
      </c>
      <c r="B33" s="7"/>
      <c r="C33" s="12">
        <f>C16/B13</f>
        <v>1.6666666666666667</v>
      </c>
      <c r="F33" s="56" t="s">
        <v>70</v>
      </c>
      <c r="G33" s="66"/>
      <c r="H33" s="66"/>
      <c r="I33" s="66"/>
      <c r="J33" s="66"/>
    </row>
    <row r="34" spans="1:10" ht="18.75">
      <c r="A34" s="11" t="s">
        <v>71</v>
      </c>
      <c r="B34" s="7"/>
      <c r="C34" s="12">
        <f>B8/B11</f>
        <v>0.72000000000000008</v>
      </c>
      <c r="E34" s="8" t="s">
        <v>36</v>
      </c>
      <c r="F34" s="56" t="s">
        <v>72</v>
      </c>
      <c r="G34" s="66"/>
      <c r="H34" s="66"/>
      <c r="I34" s="66"/>
      <c r="J34" s="66"/>
    </row>
    <row r="35" spans="1:10" ht="15.75">
      <c r="A35" s="11" t="s">
        <v>73</v>
      </c>
      <c r="B35" s="7"/>
      <c r="C35" s="12">
        <f>8*B51*B51/(B25*B25)*C34</f>
        <v>8.2070297393864262</v>
      </c>
      <c r="E35" s="8" t="s">
        <v>36</v>
      </c>
      <c r="F35" s="56" t="s">
        <v>74</v>
      </c>
      <c r="G35" s="66"/>
      <c r="H35" s="66"/>
      <c r="I35" s="66"/>
      <c r="J35" s="66"/>
    </row>
    <row r="36" spans="1:10" ht="18.75">
      <c r="A36" s="11" t="s">
        <v>75</v>
      </c>
      <c r="B36" s="7"/>
      <c r="C36" s="12">
        <f>B9/B11</f>
        <v>0.9</v>
      </c>
      <c r="E36" s="8" t="s">
        <v>36</v>
      </c>
      <c r="F36" s="56" t="s">
        <v>76</v>
      </c>
      <c r="G36" s="66"/>
      <c r="H36" s="66"/>
      <c r="I36" s="66"/>
      <c r="J36" s="66"/>
    </row>
    <row r="37" spans="1:10" ht="15.75">
      <c r="A37" s="11" t="s">
        <v>77</v>
      </c>
      <c r="B37" s="7"/>
      <c r="C37" s="12">
        <f>8*B51*B51/(B25*B25)*C36</f>
        <v>10.258787174233031</v>
      </c>
      <c r="E37" s="8" t="s">
        <v>36</v>
      </c>
      <c r="F37" s="56" t="s">
        <v>78</v>
      </c>
      <c r="G37" s="66"/>
      <c r="H37" s="66"/>
      <c r="I37" s="66"/>
      <c r="J37" s="66"/>
    </row>
    <row r="38" spans="1:10" ht="18.75">
      <c r="A38" s="11" t="s">
        <v>79</v>
      </c>
      <c r="B38" s="7"/>
      <c r="C38" s="12">
        <f>B7/B11</f>
        <v>0.79333333333333333</v>
      </c>
      <c r="E38" s="8" t="s">
        <v>36</v>
      </c>
      <c r="F38" s="56" t="s">
        <v>80</v>
      </c>
      <c r="G38" s="66"/>
      <c r="H38" s="66"/>
      <c r="I38" s="66"/>
      <c r="J38" s="66"/>
    </row>
    <row r="39" spans="1:10" ht="15.75">
      <c r="A39" s="11" t="s">
        <v>81</v>
      </c>
      <c r="B39" s="7"/>
      <c r="C39" s="12">
        <f>8*B51*B51/(B25*B25)*C38</f>
        <v>9.0429309165461547</v>
      </c>
      <c r="E39" s="8" t="s">
        <v>36</v>
      </c>
      <c r="F39" s="56" t="s">
        <v>82</v>
      </c>
      <c r="G39" s="66"/>
      <c r="H39" s="66"/>
      <c r="I39" s="66"/>
      <c r="J39" s="66"/>
    </row>
    <row r="40" spans="1:10" ht="15.75">
      <c r="A40" s="11" t="s">
        <v>83</v>
      </c>
      <c r="B40" s="7"/>
      <c r="C40" s="12">
        <f>1/B41</f>
        <v>0.2</v>
      </c>
      <c r="F40" s="56" t="s">
        <v>84</v>
      </c>
      <c r="G40" s="66"/>
      <c r="H40" s="66"/>
      <c r="I40" s="66"/>
      <c r="J40" s="66"/>
    </row>
    <row r="41" spans="1:10" ht="15.75">
      <c r="A41" s="6" t="s">
        <v>85</v>
      </c>
      <c r="B41" s="7">
        <v>5</v>
      </c>
      <c r="C41" s="12"/>
      <c r="F41" s="56" t="s">
        <v>86</v>
      </c>
      <c r="G41" s="66"/>
      <c r="H41" s="66"/>
      <c r="I41" s="66"/>
      <c r="J41" s="66"/>
    </row>
    <row r="42" spans="1:10" ht="18.75">
      <c r="A42" s="11" t="s">
        <v>87</v>
      </c>
      <c r="B42" s="7"/>
      <c r="C42" s="12">
        <f>C47*C37</f>
        <v>4.6982708837776075</v>
      </c>
      <c r="E42" s="8" t="s">
        <v>36</v>
      </c>
      <c r="F42" s="56" t="s">
        <v>88</v>
      </c>
      <c r="G42" s="66"/>
      <c r="H42" s="66"/>
      <c r="I42" s="66"/>
      <c r="J42" s="66"/>
    </row>
    <row r="43" spans="1:10" ht="15.75">
      <c r="A43" s="11" t="s">
        <v>89</v>
      </c>
      <c r="B43" s="7"/>
      <c r="C43" s="12">
        <f>C40/C30*POWER((1/C40+C30*C30/(C30*C30-1)),0.5)</f>
        <v>0.48207923750821069</v>
      </c>
      <c r="F43" s="56" t="s">
        <v>90</v>
      </c>
      <c r="G43" s="66"/>
      <c r="H43" s="66"/>
      <c r="I43" s="66"/>
      <c r="J43" s="66"/>
    </row>
    <row r="44" spans="1:10" ht="18.75">
      <c r="A44" s="6" t="s">
        <v>91</v>
      </c>
      <c r="B44" s="7">
        <v>0.95</v>
      </c>
      <c r="C44" s="12"/>
      <c r="F44" s="56" t="s">
        <v>92</v>
      </c>
      <c r="G44" s="66"/>
      <c r="H44" s="66"/>
      <c r="I44" s="66"/>
      <c r="J44" s="66"/>
    </row>
    <row r="45" spans="1:10" ht="15.75">
      <c r="A45" s="11" t="s">
        <v>93</v>
      </c>
      <c r="B45" s="7"/>
      <c r="C45" s="12">
        <f>B44*C43</f>
        <v>0.45797527563280016</v>
      </c>
      <c r="F45" s="56" t="s">
        <v>94</v>
      </c>
      <c r="G45" s="66"/>
      <c r="H45" s="66"/>
      <c r="I45" s="66"/>
      <c r="J45" s="66"/>
    </row>
    <row r="46" spans="1:10" ht="15.75">
      <c r="A46" s="11" t="s">
        <v>95</v>
      </c>
      <c r="B46" s="7"/>
      <c r="C46" s="12">
        <f>2*C40*C33*B22/(B25*((C40+1)*C33*C33-C40)*C37*C20)</f>
        <v>1.6116296666794916</v>
      </c>
      <c r="F46" s="56" t="s">
        <v>96</v>
      </c>
      <c r="G46" s="66"/>
      <c r="H46" s="66"/>
      <c r="I46" s="66"/>
      <c r="J46" s="66"/>
    </row>
    <row r="47" spans="1:10" ht="15.75">
      <c r="A47" s="11" t="s">
        <v>97</v>
      </c>
      <c r="B47" s="7"/>
      <c r="C47" s="12">
        <f>MIN(C45:C46)</f>
        <v>0.45797527563280016</v>
      </c>
      <c r="F47" s="56" t="s">
        <v>98</v>
      </c>
      <c r="G47" s="66"/>
      <c r="H47" s="66"/>
      <c r="I47" s="66"/>
      <c r="J47" s="66"/>
    </row>
    <row r="48" spans="1:10" ht="15.75">
      <c r="A48" s="11" t="s">
        <v>99</v>
      </c>
      <c r="B48" s="7"/>
      <c r="C48" s="12">
        <f>B13*POWER(C40/(1+C40),0.5)</f>
        <v>48989.79485566356</v>
      </c>
      <c r="E48" s="8" t="s">
        <v>27</v>
      </c>
      <c r="F48" s="56" t="s">
        <v>100</v>
      </c>
      <c r="G48" s="66"/>
      <c r="H48" s="66"/>
      <c r="I48" s="66"/>
      <c r="J48" s="66"/>
    </row>
    <row r="49" spans="1:16" s="13" customFormat="1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</row>
    <row r="50" spans="1:16" ht="15.75">
      <c r="A50" s="14" t="s">
        <v>101</v>
      </c>
      <c r="B50" s="7"/>
      <c r="D50" s="15">
        <f>B13*POWER(1/(1+1/C40*(1-1/POWER(C30,1+POWER(C47/C43,4)))),0.5)</f>
        <v>77636.278177487431</v>
      </c>
      <c r="E50" s="8" t="s">
        <v>27</v>
      </c>
      <c r="F50" s="56" t="s">
        <v>102</v>
      </c>
      <c r="G50" s="66"/>
      <c r="H50" s="66"/>
      <c r="I50" s="66"/>
      <c r="J50" s="66"/>
    </row>
    <row r="51" spans="1:16" ht="18.75">
      <c r="A51" s="35" t="s">
        <v>103</v>
      </c>
      <c r="B51" s="37">
        <f>C74</f>
        <v>3.75</v>
      </c>
      <c r="D51" s="15"/>
      <c r="F51" s="56" t="s">
        <v>104</v>
      </c>
      <c r="G51" s="56"/>
      <c r="H51" s="56"/>
      <c r="I51" s="56"/>
      <c r="J51" s="56"/>
      <c r="K51" s="56"/>
      <c r="L51" s="56"/>
      <c r="M51" s="56"/>
    </row>
    <row r="52" spans="1:16" ht="15.75">
      <c r="A52" s="14" t="s">
        <v>105</v>
      </c>
      <c r="B52" s="7"/>
      <c r="D52" s="15">
        <f>1*POWER(10,9)/(2*B25*B13*C42)</f>
        <v>282.29370879468263</v>
      </c>
      <c r="E52" s="8" t="s">
        <v>39</v>
      </c>
      <c r="F52" s="56" t="s">
        <v>106</v>
      </c>
      <c r="G52" s="66"/>
      <c r="H52" s="66"/>
      <c r="I52" s="66"/>
      <c r="J52" s="66"/>
    </row>
    <row r="53" spans="1:16" ht="15.75">
      <c r="A53" s="14" t="s">
        <v>107</v>
      </c>
      <c r="B53" s="7"/>
      <c r="D53" s="15">
        <f>POWER(10,6)*C42/(2*B25*B13)</f>
        <v>6.2312805561536351</v>
      </c>
      <c r="E53" s="8" t="s">
        <v>108</v>
      </c>
      <c r="F53" s="56" t="s">
        <v>109</v>
      </c>
      <c r="G53" s="66"/>
      <c r="H53" s="66"/>
      <c r="I53" s="66"/>
      <c r="J53" s="66"/>
    </row>
    <row r="54" spans="1:16" s="16" customFormat="1" ht="15.75">
      <c r="A54" s="14" t="s">
        <v>110</v>
      </c>
      <c r="B54" s="7"/>
      <c r="C54" s="1"/>
      <c r="D54" s="15">
        <f>D53/C40</f>
        <v>31.156402780768175</v>
      </c>
      <c r="E54" s="8" t="s">
        <v>108</v>
      </c>
      <c r="F54" s="56" t="s">
        <v>111</v>
      </c>
      <c r="G54" s="67"/>
      <c r="H54" s="67"/>
      <c r="I54" s="67"/>
      <c r="J54" s="67"/>
    </row>
    <row r="55" spans="1:16" s="13" customFormat="1">
      <c r="A55" s="64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</row>
    <row r="56" spans="1:16" s="13" customFormat="1" ht="18.75">
      <c r="A56" s="17" t="s">
        <v>112</v>
      </c>
      <c r="D56" s="18">
        <f>B11/(8*B51)*POWER(2*POWER(B51,4)*POWER(C38,2)/POWER(D54/1000000*B13,2)+8*POWER(B25,2),0.5)</f>
        <v>19.673786064644904</v>
      </c>
      <c r="E56" s="19" t="s">
        <v>20</v>
      </c>
      <c r="F56" s="57" t="s">
        <v>113</v>
      </c>
      <c r="G56" s="57"/>
      <c r="H56" s="57"/>
      <c r="I56" s="57"/>
      <c r="J56" s="57"/>
      <c r="K56" s="57"/>
      <c r="L56" s="57"/>
      <c r="M56" s="57"/>
    </row>
    <row r="57" spans="1:16" s="13" customFormat="1" ht="18.75">
      <c r="A57" s="17" t="s">
        <v>114</v>
      </c>
      <c r="B57" s="19"/>
      <c r="C57" s="19"/>
      <c r="D57" s="18">
        <f>B6</f>
        <v>380</v>
      </c>
      <c r="E57" s="19" t="s">
        <v>115</v>
      </c>
      <c r="F57" s="57" t="s">
        <v>116</v>
      </c>
      <c r="G57" s="57"/>
      <c r="H57" s="57"/>
      <c r="I57" s="57"/>
      <c r="J57" s="57"/>
      <c r="K57" s="57"/>
      <c r="L57" s="57"/>
      <c r="M57" s="57"/>
    </row>
    <row r="58" spans="1:16" s="13" customFormat="1" ht="18.75">
      <c r="A58" s="17" t="s">
        <v>117</v>
      </c>
      <c r="D58" s="18">
        <f>B12</f>
        <v>20</v>
      </c>
      <c r="E58" s="19" t="s">
        <v>20</v>
      </c>
      <c r="F58" s="57" t="s">
        <v>118</v>
      </c>
      <c r="G58" s="57"/>
      <c r="H58" s="57"/>
      <c r="I58" s="57"/>
      <c r="J58" s="57"/>
      <c r="K58" s="57"/>
      <c r="L58" s="57"/>
      <c r="M58" s="57"/>
    </row>
    <row r="59" spans="1:16" s="13" customFormat="1" ht="18.75">
      <c r="A59" s="17" t="s">
        <v>119</v>
      </c>
      <c r="D59" s="18">
        <f>D56/POWER(2,0.5)</f>
        <v>13.911467537923812</v>
      </c>
      <c r="E59" s="19" t="s">
        <v>20</v>
      </c>
      <c r="F59" s="57" t="s">
        <v>120</v>
      </c>
      <c r="G59" s="57"/>
      <c r="H59" s="57"/>
      <c r="I59" s="57"/>
      <c r="J59" s="57"/>
      <c r="K59" s="57"/>
      <c r="L59" s="57"/>
      <c r="M59" s="57"/>
    </row>
    <row r="60" spans="1:16" s="13" customFormat="1" ht="18.75">
      <c r="A60" s="17" t="s">
        <v>121</v>
      </c>
      <c r="D60" s="18">
        <f>POWER(D59,2)*B17</f>
        <v>29.029339358806197</v>
      </c>
      <c r="E60" s="19" t="s">
        <v>57</v>
      </c>
      <c r="F60" s="57" t="s">
        <v>122</v>
      </c>
      <c r="G60" s="57"/>
      <c r="H60" s="57"/>
      <c r="I60" s="57"/>
      <c r="J60" s="57"/>
      <c r="K60" s="57"/>
      <c r="L60" s="57"/>
      <c r="M60" s="57"/>
    </row>
    <row r="61" spans="1:16" s="13" customFormat="1" ht="18.75">
      <c r="A61" s="17" t="s">
        <v>123</v>
      </c>
      <c r="D61" s="18">
        <f>2*B9</f>
        <v>108</v>
      </c>
      <c r="E61" s="19" t="s">
        <v>115</v>
      </c>
      <c r="F61" s="57" t="s">
        <v>124</v>
      </c>
      <c r="G61" s="57"/>
      <c r="H61" s="57"/>
      <c r="I61" s="57"/>
      <c r="J61" s="57"/>
    </row>
    <row r="62" spans="1:16" s="13" customFormat="1" ht="18.75">
      <c r="A62" s="17" t="s">
        <v>125</v>
      </c>
      <c r="D62" s="18">
        <f>B11/2</f>
        <v>30</v>
      </c>
      <c r="E62" s="19" t="s">
        <v>20</v>
      </c>
      <c r="F62" s="57" t="s">
        <v>126</v>
      </c>
      <c r="G62" s="57"/>
      <c r="H62" s="57"/>
      <c r="I62" s="57"/>
      <c r="J62" s="57"/>
    </row>
    <row r="63" spans="1:16" s="13" customFormat="1" ht="18.75">
      <c r="A63" s="17" t="s">
        <v>127</v>
      </c>
      <c r="D63" s="18">
        <f>B21*D62</f>
        <v>7.1999999999999993</v>
      </c>
      <c r="E63" s="19" t="s">
        <v>57</v>
      </c>
      <c r="F63" s="57" t="s">
        <v>128</v>
      </c>
      <c r="G63" s="57"/>
      <c r="H63" s="57"/>
      <c r="I63" s="57"/>
      <c r="J63" s="57"/>
    </row>
    <row r="64" spans="1:16" s="13" customFormat="1" ht="18.75">
      <c r="A64" s="17" t="s">
        <v>129</v>
      </c>
      <c r="D64" s="18">
        <f>D56</f>
        <v>19.673786064644904</v>
      </c>
      <c r="E64" s="19" t="s">
        <v>20</v>
      </c>
      <c r="F64" s="57" t="s">
        <v>130</v>
      </c>
      <c r="G64" s="57"/>
      <c r="H64" s="57"/>
      <c r="I64" s="57"/>
      <c r="J64" s="57"/>
    </row>
    <row r="65" spans="1:16" s="13" customFormat="1" ht="18.75">
      <c r="A65" s="17" t="s">
        <v>131</v>
      </c>
      <c r="D65" s="18">
        <f>1.11*B11*0.707</f>
        <v>47.086200000000005</v>
      </c>
      <c r="E65" s="19" t="s">
        <v>20</v>
      </c>
      <c r="F65" s="57" t="s">
        <v>132</v>
      </c>
      <c r="G65" s="57"/>
      <c r="H65" s="57"/>
      <c r="I65" s="57"/>
      <c r="J65" s="57"/>
    </row>
    <row r="66" spans="1:16" s="13" customFormat="1" ht="18.75">
      <c r="A66" s="17" t="s">
        <v>133</v>
      </c>
      <c r="D66" s="18">
        <f>D56</f>
        <v>19.673786064644904</v>
      </c>
      <c r="E66" s="19" t="s">
        <v>20</v>
      </c>
      <c r="F66" s="57" t="s">
        <v>134</v>
      </c>
      <c r="G66" s="57"/>
      <c r="H66" s="57"/>
      <c r="I66" s="57"/>
      <c r="J66" s="57"/>
    </row>
    <row r="67" spans="1:16" s="13" customFormat="1" ht="18.75">
      <c r="A67" s="17" t="s">
        <v>135</v>
      </c>
      <c r="D67" s="18">
        <f>B6/2+B12/(2*B25*B13*D52*POWER(10,-9))</f>
        <v>283.96541767555215</v>
      </c>
      <c r="E67" s="19" t="s">
        <v>115</v>
      </c>
      <c r="F67" s="57" t="s">
        <v>136</v>
      </c>
      <c r="G67" s="57"/>
      <c r="H67" s="57"/>
      <c r="I67" s="57"/>
      <c r="J67" s="57"/>
    </row>
    <row r="68" spans="1:16" s="13" customFormat="1" ht="18.75">
      <c r="A68" s="17" t="s">
        <v>137</v>
      </c>
      <c r="D68" s="18">
        <f>POWER((POWER(B25,2)-8)/8,0.5)*B11</f>
        <v>29.005421521587987</v>
      </c>
      <c r="E68" s="19" t="s">
        <v>20</v>
      </c>
      <c r="F68" s="57" t="s">
        <v>138</v>
      </c>
      <c r="G68" s="57"/>
      <c r="H68" s="57"/>
      <c r="I68" s="57"/>
      <c r="J68" s="57"/>
    </row>
    <row r="69" spans="1:16" s="13" customFormat="1">
      <c r="A69" s="64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</row>
    <row r="70" spans="1:16" s="33" customFormat="1">
      <c r="A70" s="34" t="s">
        <v>139</v>
      </c>
      <c r="B70" s="74" t="s">
        <v>140</v>
      </c>
      <c r="C70" s="74"/>
      <c r="D70" s="74"/>
      <c r="E70" s="74"/>
      <c r="F70" s="75"/>
      <c r="G70" s="75"/>
      <c r="H70" s="75"/>
      <c r="I70" s="75"/>
      <c r="J70" s="75"/>
    </row>
    <row r="71" spans="1:16" s="13" customFormat="1" ht="18.75">
      <c r="A71" s="20" t="s">
        <v>141</v>
      </c>
      <c r="B71" s="21">
        <v>1</v>
      </c>
      <c r="C71" s="22"/>
      <c r="D71" s="18"/>
      <c r="E71" s="19" t="s">
        <v>142</v>
      </c>
      <c r="F71" s="57" t="s">
        <v>143</v>
      </c>
      <c r="G71" s="57"/>
      <c r="H71" s="57"/>
      <c r="I71" s="57"/>
      <c r="J71" s="57"/>
    </row>
    <row r="72" spans="1:16" s="13" customFormat="1" ht="16.5">
      <c r="A72" s="20" t="s">
        <v>144</v>
      </c>
      <c r="B72" s="21">
        <v>349</v>
      </c>
      <c r="C72" s="22"/>
      <c r="D72" s="18"/>
      <c r="E72" s="19" t="s">
        <v>145</v>
      </c>
      <c r="F72" s="57" t="s">
        <v>146</v>
      </c>
      <c r="G72" s="57"/>
      <c r="H72" s="57"/>
      <c r="I72" s="57"/>
      <c r="J72" s="57"/>
    </row>
    <row r="73" spans="1:16" s="13" customFormat="1" ht="16.5">
      <c r="A73" s="36" t="s">
        <v>61</v>
      </c>
      <c r="B73" s="37">
        <f>C29</f>
        <v>3.7625418060200668</v>
      </c>
      <c r="C73" s="1"/>
      <c r="D73" s="15"/>
      <c r="E73" s="8"/>
      <c r="F73" s="56" t="s">
        <v>147</v>
      </c>
      <c r="G73" s="56"/>
      <c r="H73" s="56"/>
      <c r="I73" s="56"/>
      <c r="J73" s="56"/>
      <c r="K73" s="56"/>
      <c r="L73" s="56"/>
      <c r="M73" s="56"/>
      <c r="N73" s="56"/>
    </row>
    <row r="74" spans="1:16" s="13" customFormat="1" ht="18.75">
      <c r="A74" s="20" t="s">
        <v>148</v>
      </c>
      <c r="B74" s="21"/>
      <c r="C74" s="23">
        <f>B77/B78</f>
        <v>3.75</v>
      </c>
      <c r="D74" s="18"/>
      <c r="E74" s="19"/>
      <c r="F74" s="57" t="s">
        <v>149</v>
      </c>
      <c r="G74" s="57"/>
      <c r="H74" s="57"/>
      <c r="I74" s="57"/>
      <c r="J74" s="57"/>
    </row>
    <row r="75" spans="1:16" s="13" customFormat="1" ht="15.75">
      <c r="A75" s="20" t="s">
        <v>150</v>
      </c>
      <c r="B75" s="21">
        <v>0.3</v>
      </c>
      <c r="C75" s="23"/>
      <c r="D75" s="18"/>
      <c r="E75" s="19" t="s">
        <v>151</v>
      </c>
      <c r="F75" s="57" t="s">
        <v>152</v>
      </c>
      <c r="G75" s="57"/>
      <c r="H75" s="57"/>
      <c r="I75" s="57"/>
      <c r="J75" s="57"/>
    </row>
    <row r="76" spans="1:16" s="13" customFormat="1" ht="15.75">
      <c r="A76" s="24" t="s">
        <v>153</v>
      </c>
      <c r="B76" s="21"/>
      <c r="C76" s="23">
        <f>B73*(B9+B21)/(2*D50*B71*B72*POWER(10,-6)*B75)</f>
        <v>12.553349786163864</v>
      </c>
      <c r="D76" s="18"/>
      <c r="E76" s="19" t="s">
        <v>154</v>
      </c>
      <c r="F76" s="57" t="s">
        <v>155</v>
      </c>
      <c r="G76" s="57"/>
      <c r="H76" s="57"/>
      <c r="I76" s="57"/>
      <c r="J76" s="57"/>
    </row>
    <row r="77" spans="1:16" s="13" customFormat="1" ht="15.75">
      <c r="A77" s="25" t="s">
        <v>156</v>
      </c>
      <c r="B77" s="21">
        <v>15</v>
      </c>
      <c r="C77" s="23"/>
      <c r="D77" s="18"/>
      <c r="E77" s="19" t="s">
        <v>154</v>
      </c>
      <c r="F77" s="57" t="s">
        <v>157</v>
      </c>
      <c r="G77" s="57"/>
      <c r="H77" s="57"/>
      <c r="I77" s="57"/>
      <c r="J77" s="57"/>
    </row>
    <row r="78" spans="1:16" s="13" customFormat="1" ht="15.75">
      <c r="A78" s="25" t="s">
        <v>158</v>
      </c>
      <c r="B78" s="21">
        <v>4</v>
      </c>
      <c r="C78" s="23"/>
      <c r="D78" s="18"/>
      <c r="E78" s="19" t="s">
        <v>154</v>
      </c>
      <c r="F78" s="57" t="s">
        <v>159</v>
      </c>
      <c r="G78" s="57"/>
      <c r="H78" s="57"/>
      <c r="I78" s="57"/>
      <c r="J78" s="57"/>
    </row>
    <row r="79" spans="1:16" s="13" customFormat="1" ht="15.75">
      <c r="A79" s="24" t="s">
        <v>160</v>
      </c>
      <c r="B79" s="21"/>
      <c r="C79" s="23">
        <f>C74*(B9+B21)/(2*D50*B71*B72*POWER(10,-6)*B77)</f>
        <v>0.25023010573753302</v>
      </c>
      <c r="D79" s="22"/>
      <c r="E79" s="19" t="s">
        <v>151</v>
      </c>
      <c r="F79" s="57" t="s">
        <v>161</v>
      </c>
      <c r="G79" s="57"/>
      <c r="H79" s="57"/>
      <c r="I79" s="57"/>
      <c r="J79" s="57"/>
    </row>
    <row r="80" spans="1:16" s="13" customFormat="1" ht="18.75">
      <c r="A80" s="24" t="s">
        <v>162</v>
      </c>
      <c r="B80" s="21"/>
      <c r="C80" s="23">
        <f>B6*1000000/(4*C16*(D53+D54))</f>
        <v>12.704718709621647</v>
      </c>
      <c r="D80" s="22"/>
      <c r="E80" s="19" t="s">
        <v>20</v>
      </c>
      <c r="F80" s="57" t="s">
        <v>163</v>
      </c>
      <c r="G80" s="57"/>
      <c r="H80" s="57"/>
      <c r="I80" s="57"/>
      <c r="J80" s="57"/>
      <c r="K80" s="57"/>
      <c r="L80" s="57"/>
      <c r="M80" s="57"/>
      <c r="N80" s="57"/>
    </row>
    <row r="81" spans="1:254" s="13" customFormat="1" ht="18.75">
      <c r="A81" s="24" t="s">
        <v>164</v>
      </c>
      <c r="B81" s="21"/>
      <c r="C81" s="23">
        <f>C20*B6/B22</f>
        <v>1.5565925925925927</v>
      </c>
      <c r="D81" s="22"/>
      <c r="E81" s="19" t="s">
        <v>20</v>
      </c>
      <c r="F81" s="57" t="s">
        <v>165</v>
      </c>
      <c r="G81" s="57"/>
      <c r="H81" s="57"/>
      <c r="I81" s="57"/>
      <c r="J81" s="57"/>
      <c r="K81" s="57"/>
      <c r="L81" s="57"/>
      <c r="M81" s="57"/>
      <c r="N81" s="57"/>
    </row>
    <row r="82" spans="1:254" s="61" customFormat="1" ht="18.7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59"/>
      <c r="FU82" s="59"/>
      <c r="FV82" s="59"/>
      <c r="FW82" s="59"/>
      <c r="FX82" s="59"/>
      <c r="FY82" s="59"/>
      <c r="FZ82" s="59"/>
      <c r="GA82" s="59"/>
      <c r="GB82" s="59"/>
      <c r="GC82" s="59"/>
      <c r="GD82" s="59"/>
      <c r="GE82" s="59"/>
      <c r="GF82" s="59"/>
      <c r="GG82" s="59"/>
      <c r="GH82" s="59"/>
      <c r="GI82" s="59"/>
      <c r="GJ82" s="59"/>
      <c r="GK82" s="59"/>
      <c r="GL82" s="59"/>
      <c r="GM82" s="59"/>
      <c r="GN82" s="59"/>
      <c r="GO82" s="59"/>
      <c r="GP82" s="59"/>
      <c r="GQ82" s="59"/>
      <c r="GR82" s="59"/>
      <c r="GS82" s="59"/>
      <c r="GT82" s="59"/>
      <c r="GU82" s="59"/>
      <c r="GV82" s="59"/>
      <c r="GW82" s="59"/>
      <c r="GX82" s="59"/>
      <c r="GY82" s="59"/>
      <c r="GZ82" s="59"/>
      <c r="HA82" s="59"/>
      <c r="HB82" s="59"/>
      <c r="HC82" s="59"/>
      <c r="HD82" s="59"/>
      <c r="HE82" s="59"/>
      <c r="HF82" s="59"/>
      <c r="HG82" s="59"/>
      <c r="HH82" s="59"/>
      <c r="HI82" s="59"/>
      <c r="HJ82" s="59"/>
      <c r="HK82" s="59"/>
      <c r="HL82" s="59"/>
      <c r="HM82" s="59"/>
      <c r="HN82" s="59"/>
      <c r="HO82" s="59"/>
      <c r="HP82" s="59"/>
      <c r="HQ82" s="59"/>
      <c r="HR82" s="59"/>
      <c r="HS82" s="59"/>
      <c r="HT82" s="59"/>
      <c r="HU82" s="59"/>
      <c r="HV82" s="59"/>
      <c r="HW82" s="59"/>
      <c r="HX82" s="59"/>
      <c r="HY82" s="59"/>
      <c r="HZ82" s="59"/>
      <c r="IA82" s="59"/>
      <c r="IB82" s="59"/>
      <c r="IC82" s="59"/>
      <c r="ID82" s="59"/>
      <c r="IE82" s="59"/>
      <c r="IF82" s="59"/>
      <c r="IG82" s="59"/>
      <c r="IH82" s="59"/>
      <c r="II82" s="59"/>
      <c r="IJ82" s="59"/>
      <c r="IK82" s="59"/>
      <c r="IL82" s="59"/>
      <c r="IM82" s="59"/>
      <c r="IN82" s="59"/>
      <c r="IO82" s="59"/>
      <c r="IP82" s="59"/>
      <c r="IQ82" s="59"/>
      <c r="IR82" s="59"/>
      <c r="IS82" s="59"/>
      <c r="IT82" s="60"/>
    </row>
    <row r="83" spans="1:254" s="41" customFormat="1">
      <c r="A83" s="62" t="s">
        <v>166</v>
      </c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  <c r="HI83" s="33"/>
      <c r="HJ83" s="33"/>
      <c r="HK83" s="33"/>
      <c r="HL83" s="33"/>
      <c r="HM83" s="33"/>
      <c r="HN83" s="33"/>
      <c r="HO83" s="33"/>
      <c r="HP83" s="33"/>
      <c r="HQ83" s="33"/>
      <c r="HR83" s="33"/>
      <c r="HS83" s="33"/>
      <c r="HT83" s="33"/>
      <c r="HU83" s="33"/>
      <c r="HV83" s="33"/>
      <c r="HW83" s="33"/>
      <c r="HX83" s="33"/>
      <c r="HY83" s="33"/>
      <c r="HZ83" s="33"/>
      <c r="IA83" s="33"/>
      <c r="IB83" s="33"/>
      <c r="IC83" s="33"/>
      <c r="ID83" s="33"/>
      <c r="IE83" s="33"/>
      <c r="IF83" s="33"/>
      <c r="IG83" s="33"/>
      <c r="IH83" s="33"/>
      <c r="II83" s="33"/>
      <c r="IJ83" s="33"/>
      <c r="IK83" s="33"/>
      <c r="IL83" s="33"/>
      <c r="IM83" s="33"/>
      <c r="IN83" s="33"/>
      <c r="IO83" s="33"/>
      <c r="IP83" s="33"/>
      <c r="IQ83" s="33"/>
      <c r="IR83" s="33"/>
      <c r="IS83" s="33"/>
      <c r="IT83" s="33"/>
    </row>
    <row r="84" spans="1:254" ht="18.75">
      <c r="A84" s="39" t="s">
        <v>167</v>
      </c>
      <c r="B84" s="37">
        <f>C93</f>
        <v>0.90701409748389683</v>
      </c>
      <c r="E84" s="44"/>
      <c r="F84" s="55" t="s">
        <v>168</v>
      </c>
      <c r="G84" s="55"/>
      <c r="H84" s="55"/>
      <c r="I84" s="55"/>
      <c r="J84" s="55"/>
      <c r="K84" s="55"/>
      <c r="L84" s="55"/>
      <c r="M84" s="55"/>
      <c r="N84" s="55"/>
      <c r="O84" s="38"/>
      <c r="P84" s="38"/>
      <c r="Q84" s="38"/>
    </row>
    <row r="85" spans="1:254" ht="18.75">
      <c r="A85" s="39" t="s">
        <v>169</v>
      </c>
      <c r="B85" s="37">
        <f>C95</f>
        <v>0.57246909454100003</v>
      </c>
      <c r="D85" s="27"/>
      <c r="E85" s="45"/>
      <c r="F85" s="55" t="s">
        <v>170</v>
      </c>
      <c r="G85" s="55"/>
      <c r="H85" s="55"/>
      <c r="I85" s="55"/>
      <c r="J85" s="55"/>
      <c r="K85" s="55"/>
      <c r="L85" s="55"/>
      <c r="M85" s="55"/>
      <c r="N85" s="55"/>
      <c r="O85" s="38"/>
      <c r="P85" s="38"/>
      <c r="Q85" s="38"/>
    </row>
    <row r="86" spans="1:254" ht="18.75">
      <c r="A86" s="39" t="s">
        <v>83</v>
      </c>
      <c r="B86" s="37">
        <f>C40</f>
        <v>0.2</v>
      </c>
      <c r="D86" s="27"/>
      <c r="E86" s="45"/>
      <c r="F86" s="55" t="s">
        <v>171</v>
      </c>
      <c r="G86" s="55"/>
      <c r="H86" s="55"/>
      <c r="I86" s="55"/>
      <c r="J86" s="55"/>
      <c r="K86" s="55"/>
      <c r="L86" s="55"/>
      <c r="M86" s="55"/>
      <c r="N86" s="55"/>
      <c r="O86" s="38"/>
      <c r="P86" s="38"/>
      <c r="Q86" s="38"/>
    </row>
    <row r="87" spans="1:254" ht="14.25" customHeight="1">
      <c r="A87" s="26" t="s">
        <v>172</v>
      </c>
      <c r="B87" s="50">
        <v>150000</v>
      </c>
      <c r="C87" s="12"/>
      <c r="D87" s="28"/>
      <c r="E87" s="49" t="s">
        <v>27</v>
      </c>
      <c r="F87" s="55" t="s">
        <v>173</v>
      </c>
      <c r="G87" s="55"/>
      <c r="H87" s="55"/>
      <c r="I87" s="55"/>
      <c r="J87" s="55"/>
      <c r="K87" s="55"/>
      <c r="L87" s="55"/>
      <c r="M87" s="55"/>
      <c r="N87" s="55"/>
      <c r="O87" s="38"/>
      <c r="P87" s="38"/>
      <c r="Q87" s="38"/>
    </row>
    <row r="88" spans="1:254" ht="14.25" customHeight="1">
      <c r="A88" s="29" t="s">
        <v>174</v>
      </c>
      <c r="B88" s="12"/>
      <c r="C88" s="51">
        <f>B87/B13</f>
        <v>1.25</v>
      </c>
      <c r="E88" s="45"/>
      <c r="F88" s="55" t="s">
        <v>175</v>
      </c>
      <c r="G88" s="55"/>
      <c r="H88" s="55"/>
      <c r="I88" s="55"/>
      <c r="J88" s="55"/>
      <c r="K88" s="55"/>
      <c r="L88" s="55"/>
      <c r="M88" s="55"/>
      <c r="N88" s="55"/>
      <c r="O88" s="38"/>
      <c r="P88" s="38"/>
      <c r="Q88" s="38"/>
    </row>
    <row r="89" spans="1:254" ht="18.75">
      <c r="A89" s="26" t="s">
        <v>176</v>
      </c>
      <c r="B89" s="7">
        <v>380</v>
      </c>
      <c r="D89" s="27"/>
      <c r="E89" s="45"/>
      <c r="F89" s="55" t="s">
        <v>177</v>
      </c>
      <c r="G89" s="55"/>
      <c r="H89" s="55"/>
      <c r="I89" s="55"/>
      <c r="J89" s="55"/>
      <c r="K89" s="55"/>
      <c r="L89" s="55"/>
      <c r="M89" s="55"/>
      <c r="N89" s="55"/>
      <c r="O89" s="38"/>
      <c r="P89" s="38"/>
      <c r="Q89" s="38"/>
    </row>
    <row r="90" spans="1:254" ht="18.75">
      <c r="A90" s="26" t="s">
        <v>178</v>
      </c>
      <c r="B90" s="7">
        <v>43.2</v>
      </c>
      <c r="D90" s="30"/>
      <c r="E90" s="45"/>
      <c r="F90" s="55" t="s">
        <v>179</v>
      </c>
      <c r="G90" s="55"/>
      <c r="H90" s="55"/>
      <c r="I90" s="55"/>
      <c r="J90" s="55"/>
      <c r="K90" s="55"/>
      <c r="L90" s="55"/>
      <c r="M90" s="55"/>
      <c r="N90" s="55"/>
      <c r="O90" s="38"/>
      <c r="P90" s="38"/>
      <c r="Q90" s="38"/>
    </row>
    <row r="91" spans="1:254" ht="18.75">
      <c r="A91" s="26" t="s">
        <v>180</v>
      </c>
      <c r="B91" s="7">
        <v>60</v>
      </c>
      <c r="D91" s="30"/>
      <c r="E91" s="45"/>
      <c r="F91" s="55" t="s">
        <v>181</v>
      </c>
      <c r="G91" s="55"/>
      <c r="H91" s="55"/>
      <c r="I91" s="55"/>
      <c r="J91" s="55"/>
      <c r="K91" s="55"/>
      <c r="L91" s="55"/>
      <c r="M91" s="55"/>
      <c r="N91" s="55"/>
      <c r="O91" s="38"/>
      <c r="P91" s="38"/>
      <c r="Q91" s="38"/>
    </row>
    <row r="92" spans="1:254" ht="18.75">
      <c r="A92" s="40" t="s">
        <v>182</v>
      </c>
      <c r="B92" s="37">
        <f>C74</f>
        <v>3.75</v>
      </c>
      <c r="D92" s="30"/>
      <c r="E92" s="45"/>
      <c r="F92" s="55" t="s">
        <v>183</v>
      </c>
      <c r="G92" s="55"/>
      <c r="H92" s="55"/>
      <c r="I92" s="55"/>
      <c r="J92" s="55"/>
      <c r="K92" s="55"/>
      <c r="L92" s="55"/>
      <c r="M92" s="55"/>
      <c r="N92" s="55"/>
      <c r="O92" s="38"/>
      <c r="P92" s="38"/>
      <c r="Q92" s="38"/>
    </row>
    <row r="93" spans="1:254" ht="18.75">
      <c r="A93" s="29" t="s">
        <v>184</v>
      </c>
      <c r="B93" s="12"/>
      <c r="C93" s="12">
        <f>POWER(POWER(1+B86-B86/POWER(C88,2),2)+POWER(B85,2)*POWER(C88-1/C88,2),-0.5)</f>
        <v>0.90701409748389683</v>
      </c>
      <c r="D93" s="27"/>
      <c r="E93" s="45"/>
      <c r="F93" s="55" t="s">
        <v>185</v>
      </c>
      <c r="G93" s="55"/>
      <c r="H93" s="55"/>
      <c r="I93" s="55"/>
      <c r="J93" s="55"/>
      <c r="K93" s="55"/>
      <c r="L93" s="55"/>
      <c r="M93" s="55"/>
      <c r="N93" s="55"/>
      <c r="O93" s="38"/>
      <c r="P93" s="38"/>
      <c r="Q93" s="38"/>
    </row>
    <row r="94" spans="1:254" ht="18.75">
      <c r="A94" s="29" t="s">
        <v>186</v>
      </c>
      <c r="B94" s="12"/>
      <c r="C94" s="12">
        <f>POWER(1/POWER(B84,2)-POWER(1+B86-B86/POWER(C88,2),2),0.5)/ABS(C88-1/C88)</f>
        <v>0.57246909454099992</v>
      </c>
      <c r="D94" s="27"/>
      <c r="E94" s="45"/>
      <c r="F94" s="55" t="s">
        <v>187</v>
      </c>
      <c r="G94" s="55"/>
      <c r="H94" s="55"/>
      <c r="I94" s="55"/>
      <c r="J94" s="55"/>
      <c r="K94" s="55"/>
      <c r="L94" s="55"/>
      <c r="M94" s="55"/>
      <c r="N94" s="55"/>
      <c r="O94" s="38"/>
      <c r="P94" s="38"/>
      <c r="Q94" s="38"/>
    </row>
    <row r="95" spans="1:254" ht="18.75">
      <c r="A95" s="29" t="s">
        <v>188</v>
      </c>
      <c r="B95" s="12"/>
      <c r="C95" s="12">
        <f>POWER(B25,2)*C42/((POWER(B92,2)*8*(B90/B91)))</f>
        <v>0.57246909454100003</v>
      </c>
      <c r="D95" s="30"/>
      <c r="E95" s="45"/>
      <c r="F95" s="55" t="s">
        <v>189</v>
      </c>
      <c r="G95" s="55"/>
      <c r="H95" s="55"/>
      <c r="I95" s="55"/>
      <c r="J95" s="55"/>
      <c r="K95" s="55"/>
      <c r="L95" s="55"/>
      <c r="M95" s="55"/>
      <c r="N95" s="55"/>
      <c r="O95" s="38"/>
      <c r="P95" s="38"/>
      <c r="Q95" s="38"/>
    </row>
    <row r="96" spans="1:254" ht="18.75">
      <c r="A96" s="29" t="s">
        <v>190</v>
      </c>
      <c r="B96" s="12"/>
      <c r="C96" s="12">
        <f>2*B92*(B90+B21)/B89</f>
        <v>0.85736842105263156</v>
      </c>
      <c r="D96" s="30"/>
      <c r="E96" s="45"/>
      <c r="F96" s="55" t="s">
        <v>191</v>
      </c>
      <c r="G96" s="55"/>
      <c r="H96" s="55"/>
      <c r="I96" s="55"/>
      <c r="J96" s="55"/>
      <c r="K96" s="55"/>
      <c r="L96" s="55"/>
      <c r="M96" s="55"/>
      <c r="N96" s="55"/>
      <c r="O96" s="38"/>
      <c r="P96" s="38"/>
      <c r="Q96" s="38"/>
    </row>
    <row r="97" spans="1:17" ht="18.75">
      <c r="A97" s="39" t="s">
        <v>192</v>
      </c>
      <c r="B97" s="37">
        <f>C31</f>
        <v>0.85736842105263156</v>
      </c>
      <c r="D97" s="30"/>
      <c r="E97" s="45"/>
      <c r="F97" s="55" t="s">
        <v>193</v>
      </c>
      <c r="G97" s="55"/>
      <c r="H97" s="55"/>
      <c r="I97" s="55"/>
      <c r="J97" s="55"/>
      <c r="K97" s="55"/>
      <c r="L97" s="55"/>
      <c r="M97" s="55"/>
      <c r="N97" s="55"/>
      <c r="O97" s="38"/>
      <c r="P97" s="38"/>
      <c r="Q97" s="38"/>
    </row>
    <row r="98" spans="1:17" ht="18.75">
      <c r="A98" s="39" t="s">
        <v>194</v>
      </c>
      <c r="B98" s="37">
        <f>C30</f>
        <v>1.1964705882352942</v>
      </c>
      <c r="E98" s="44"/>
      <c r="F98" s="55" t="s">
        <v>195</v>
      </c>
      <c r="G98" s="55"/>
      <c r="H98" s="55"/>
      <c r="I98" s="55"/>
      <c r="J98" s="55"/>
      <c r="K98" s="55"/>
      <c r="L98" s="55"/>
      <c r="M98" s="55"/>
      <c r="N98" s="55"/>
      <c r="O98" s="38"/>
      <c r="P98" s="38"/>
      <c r="Q98" s="38"/>
    </row>
    <row r="99" spans="1:17">
      <c r="A99" s="48" t="s">
        <v>196</v>
      </c>
      <c r="B99" s="47"/>
      <c r="C99" s="16"/>
      <c r="D99" s="46">
        <f>IF(C96&gt;C93,1,0)</f>
        <v>0</v>
      </c>
      <c r="E99" s="44"/>
      <c r="F99" s="56" t="s">
        <v>197</v>
      </c>
      <c r="G99" s="56"/>
      <c r="H99" s="56"/>
      <c r="I99" s="56"/>
      <c r="J99" s="56"/>
      <c r="K99" s="56"/>
      <c r="L99" s="56"/>
      <c r="M99" s="56"/>
      <c r="N99" s="56"/>
    </row>
    <row r="100" spans="1:17" s="54" customFormat="1">
      <c r="A100" s="52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</row>
    <row r="101" spans="1:17">
      <c r="E101" s="44"/>
      <c r="F101" s="43"/>
      <c r="G101" s="42"/>
      <c r="H101" s="42"/>
      <c r="I101" s="42"/>
      <c r="J101" s="42"/>
      <c r="K101" s="42"/>
      <c r="L101" s="42"/>
      <c r="M101" s="42"/>
      <c r="N101" s="42"/>
    </row>
    <row r="102" spans="1:17">
      <c r="E102" s="44"/>
      <c r="F102" s="43"/>
      <c r="G102" s="42"/>
      <c r="H102" s="42"/>
      <c r="I102" s="42"/>
      <c r="J102" s="42"/>
      <c r="K102" s="42"/>
      <c r="L102" s="42"/>
      <c r="M102" s="42"/>
      <c r="N102" s="42"/>
    </row>
    <row r="103" spans="1:17">
      <c r="E103" s="44"/>
      <c r="F103" s="43"/>
      <c r="G103" s="42"/>
      <c r="H103" s="42"/>
      <c r="I103" s="42"/>
      <c r="J103" s="42"/>
      <c r="K103" s="42"/>
      <c r="L103" s="42"/>
      <c r="M103" s="42"/>
      <c r="N103" s="42"/>
    </row>
    <row r="104" spans="1:17">
      <c r="E104" s="44"/>
      <c r="F104" s="43"/>
      <c r="G104" s="42"/>
      <c r="H104" s="42"/>
      <c r="I104" s="42"/>
      <c r="J104" s="42"/>
      <c r="K104" s="42"/>
      <c r="L104" s="42"/>
      <c r="M104" s="42"/>
      <c r="N104" s="42"/>
    </row>
    <row r="105" spans="1:17">
      <c r="E105" s="44"/>
      <c r="F105" s="43"/>
      <c r="G105" s="42"/>
      <c r="H105" s="42"/>
      <c r="I105" s="42"/>
      <c r="J105" s="42"/>
      <c r="K105" s="42"/>
      <c r="L105" s="42"/>
      <c r="M105" s="42"/>
      <c r="N105" s="42"/>
    </row>
    <row r="106" spans="1:17">
      <c r="E106" s="44"/>
      <c r="F106" s="43"/>
      <c r="G106" s="42"/>
      <c r="H106" s="42"/>
      <c r="I106" s="42"/>
      <c r="J106" s="42"/>
      <c r="K106" s="42"/>
      <c r="L106" s="42"/>
      <c r="M106" s="42"/>
      <c r="N106" s="42"/>
    </row>
    <row r="107" spans="1:17">
      <c r="E107" s="44"/>
      <c r="F107" s="43"/>
      <c r="G107" s="42"/>
      <c r="H107" s="42"/>
      <c r="I107" s="42"/>
      <c r="J107" s="42"/>
      <c r="K107" s="42"/>
      <c r="L107" s="42"/>
      <c r="M107" s="42"/>
      <c r="N107" s="42"/>
    </row>
  </sheetData>
  <sheetProtection password="D59A" sheet="1" objects="1" scenarios="1"/>
  <mergeCells count="100">
    <mergeCell ref="F56:M56"/>
    <mergeCell ref="F57:M57"/>
    <mergeCell ref="F58:M58"/>
    <mergeCell ref="F59:M59"/>
    <mergeCell ref="F60:M60"/>
    <mergeCell ref="F33:J33"/>
    <mergeCell ref="F27:J27"/>
    <mergeCell ref="F29:J29"/>
    <mergeCell ref="F79:J79"/>
    <mergeCell ref="A69:P69"/>
    <mergeCell ref="F71:J71"/>
    <mergeCell ref="F72:J72"/>
    <mergeCell ref="F74:J74"/>
    <mergeCell ref="B70:E70"/>
    <mergeCell ref="F70:J70"/>
    <mergeCell ref="F73:N73"/>
    <mergeCell ref="F75:J75"/>
    <mergeCell ref="F76:J76"/>
    <mergeCell ref="F77:J77"/>
    <mergeCell ref="F78:J78"/>
    <mergeCell ref="F64:J64"/>
    <mergeCell ref="F24:J24"/>
    <mergeCell ref="A26:P26"/>
    <mergeCell ref="F28:J28"/>
    <mergeCell ref="F32:J32"/>
    <mergeCell ref="F31:P31"/>
    <mergeCell ref="F25:J25"/>
    <mergeCell ref="F43:J43"/>
    <mergeCell ref="F51:M51"/>
    <mergeCell ref="F35:J35"/>
    <mergeCell ref="F41:J41"/>
    <mergeCell ref="F38:J38"/>
    <mergeCell ref="F40:J40"/>
    <mergeCell ref="F36:J36"/>
    <mergeCell ref="F54:J54"/>
    <mergeCell ref="A49:P49"/>
    <mergeCell ref="A1:P2"/>
    <mergeCell ref="F3:J3"/>
    <mergeCell ref="F6:J6"/>
    <mergeCell ref="F4:J4"/>
    <mergeCell ref="F5:J5"/>
    <mergeCell ref="F8:J8"/>
    <mergeCell ref="F53:J53"/>
    <mergeCell ref="F37:J37"/>
    <mergeCell ref="F39:J39"/>
    <mergeCell ref="F46:J46"/>
    <mergeCell ref="F45:J45"/>
    <mergeCell ref="F47:J47"/>
    <mergeCell ref="F42:J42"/>
    <mergeCell ref="F44:J44"/>
    <mergeCell ref="F10:J10"/>
    <mergeCell ref="F18:J18"/>
    <mergeCell ref="F19:J19"/>
    <mergeCell ref="F14:J14"/>
    <mergeCell ref="F16:J16"/>
    <mergeCell ref="F15:L15"/>
    <mergeCell ref="A55:P55"/>
    <mergeCell ref="F48:J48"/>
    <mergeCell ref="F7:J7"/>
    <mergeCell ref="F11:J11"/>
    <mergeCell ref="F30:J30"/>
    <mergeCell ref="F52:J52"/>
    <mergeCell ref="F13:J13"/>
    <mergeCell ref="F22:J22"/>
    <mergeCell ref="F50:J50"/>
    <mergeCell ref="F34:J34"/>
    <mergeCell ref="F9:J9"/>
    <mergeCell ref="F21:J21"/>
    <mergeCell ref="F23:J23"/>
    <mergeCell ref="F20:J20"/>
    <mergeCell ref="F17:J17"/>
    <mergeCell ref="F12:J12"/>
    <mergeCell ref="F80:N80"/>
    <mergeCell ref="A83:N83"/>
    <mergeCell ref="F88:N88"/>
    <mergeCell ref="F89:N89"/>
    <mergeCell ref="F61:J61"/>
    <mergeCell ref="F62:J62"/>
    <mergeCell ref="F63:J63"/>
    <mergeCell ref="F66:J66"/>
    <mergeCell ref="F67:J67"/>
    <mergeCell ref="F84:N84"/>
    <mergeCell ref="F65:J65"/>
    <mergeCell ref="F68:J68"/>
    <mergeCell ref="F85:N85"/>
    <mergeCell ref="F81:N81"/>
    <mergeCell ref="F91:N91"/>
    <mergeCell ref="F98:N98"/>
    <mergeCell ref="A82:XFD82"/>
    <mergeCell ref="F86:N86"/>
    <mergeCell ref="F99:N99"/>
    <mergeCell ref="F93:N93"/>
    <mergeCell ref="F94:N94"/>
    <mergeCell ref="F97:N97"/>
    <mergeCell ref="F90:N90"/>
    <mergeCell ref="A100:XFD100"/>
    <mergeCell ref="F95:N95"/>
    <mergeCell ref="F92:N92"/>
    <mergeCell ref="F96:N96"/>
    <mergeCell ref="F87:N87"/>
  </mergeCells>
  <phoneticPr fontId="46" type="noConversion"/>
  <pageMargins left="0.75" right="0.75" top="1" bottom="1" header="0.5" footer="0.5"/>
  <pageSetup paperSize="9" firstPageNumber="4294963191" orientation="portrait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LLC半桥谐振变换器计算</vt:lpstr>
    </vt:vector>
  </TitlesOfParts>
  <Manager/>
  <Company>Microsoft China</Company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</dc:creator>
  <cp:keywords/>
  <dc:description/>
  <cp:lastModifiedBy>Danny Wang</cp:lastModifiedBy>
  <cp:revision/>
  <cp:lastPrinted>1899-12-30T00:00:00Z</cp:lastPrinted>
  <dcterms:created xsi:type="dcterms:W3CDTF">2005-07-03T00:45:02Z</dcterms:created>
  <dcterms:modified xsi:type="dcterms:W3CDTF">2013-07-26T07:22:21Z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2052-6.6.0.2461</vt:lpwstr>
  </property>
</Properties>
</file>